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sley Chingwena\Documents\python_scripts\Uptime\docs\"/>
    </mc:Choice>
  </mc:AlternateContent>
  <xr:revisionPtr revIDLastSave="0" documentId="13_ncr:1_{B1776AD3-019F-4790-A5A8-371676E0F3EF}" xr6:coauthVersionLast="47" xr6:coauthVersionMax="47" xr10:uidLastSave="{00000000-0000-0000-0000-000000000000}"/>
  <bookViews>
    <workbookView xWindow="-110" yWindow="-110" windowWidth="19420" windowHeight="11020" firstSheet="13" activeTab="18" xr2:uid="{E48C1515-1627-42F6-8B38-20897BD789C1}"/>
  </bookViews>
  <sheets>
    <sheet name="Format" sheetId="2" r:id="rId1"/>
    <sheet name="2 Feb 2023" sheetId="4" r:id="rId2"/>
    <sheet name="3 Feb 2023" sheetId="5" r:id="rId3"/>
    <sheet name="6 Feb 2023" sheetId="6" r:id="rId4"/>
    <sheet name="7 Feb 2023" sheetId="7" r:id="rId5"/>
    <sheet name="8 Feb 2023" sheetId="8" r:id="rId6"/>
    <sheet name="9 Feb 2023" sheetId="9" r:id="rId7"/>
    <sheet name="10 Feb 2023" sheetId="10" r:id="rId8"/>
    <sheet name="13 Feb 2023" sheetId="11" r:id="rId9"/>
    <sheet name="14 Feb 2023" sheetId="12" r:id="rId10"/>
    <sheet name="15 Feb 2023" sheetId="13" r:id="rId11"/>
    <sheet name="16 Feb 2023" sheetId="109" r:id="rId12"/>
    <sheet name="17 Feb 2023" sheetId="110" r:id="rId13"/>
    <sheet name="20 Feb 2023" sheetId="3" r:id="rId14"/>
    <sheet name="21 Feb 2023" sheetId="112" r:id="rId15"/>
    <sheet name="22 Feb 2023" sheetId="113" r:id="rId16"/>
    <sheet name="23 Feb 2023" sheetId="114" r:id="rId17"/>
    <sheet name="24 Feb 2023" sheetId="115" r:id="rId18"/>
    <sheet name="27 Feb 2023" sheetId="116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116" l="1"/>
  <c r="S12" i="116"/>
  <c r="T11" i="116"/>
  <c r="S11" i="116"/>
  <c r="T10" i="116"/>
  <c r="S10" i="116"/>
  <c r="T9" i="116"/>
  <c r="S9" i="116"/>
  <c r="T8" i="116"/>
  <c r="S8" i="116"/>
  <c r="T7" i="116"/>
  <c r="S7" i="116"/>
  <c r="T6" i="116"/>
  <c r="S6" i="116"/>
  <c r="T5" i="116"/>
  <c r="S5" i="116"/>
  <c r="T4" i="116"/>
  <c r="S4" i="116"/>
  <c r="T12" i="115"/>
  <c r="S12" i="115"/>
  <c r="T11" i="115"/>
  <c r="S11" i="115"/>
  <c r="T10" i="115"/>
  <c r="S10" i="115"/>
  <c r="T9" i="115"/>
  <c r="S9" i="115"/>
  <c r="T8" i="115"/>
  <c r="S8" i="115"/>
  <c r="T7" i="115"/>
  <c r="S7" i="115"/>
  <c r="T6" i="115"/>
  <c r="S6" i="115"/>
  <c r="T5" i="115"/>
  <c r="S5" i="115"/>
  <c r="T4" i="115"/>
  <c r="S4" i="115"/>
  <c r="T12" i="114"/>
  <c r="S12" i="114"/>
  <c r="T11" i="114"/>
  <c r="S11" i="114"/>
  <c r="T10" i="114"/>
  <c r="S10" i="114"/>
  <c r="T9" i="114"/>
  <c r="S9" i="114"/>
  <c r="T8" i="114"/>
  <c r="S8" i="114"/>
  <c r="O1" i="114" s="1"/>
  <c r="T7" i="114"/>
  <c r="S7" i="114"/>
  <c r="T6" i="114"/>
  <c r="S6" i="114"/>
  <c r="T5" i="114"/>
  <c r="S5" i="114"/>
  <c r="T4" i="114"/>
  <c r="S4" i="114"/>
  <c r="T12" i="113"/>
  <c r="S12" i="113"/>
  <c r="T11" i="113"/>
  <c r="S11" i="113"/>
  <c r="T10" i="113"/>
  <c r="S10" i="113"/>
  <c r="T9" i="113"/>
  <c r="S9" i="113"/>
  <c r="T8" i="113"/>
  <c r="S8" i="113"/>
  <c r="T7" i="113"/>
  <c r="S7" i="113"/>
  <c r="T6" i="113"/>
  <c r="S6" i="113"/>
  <c r="T5" i="113"/>
  <c r="S5" i="113"/>
  <c r="T4" i="113"/>
  <c r="S4" i="113"/>
  <c r="O1" i="116" l="1"/>
  <c r="O2" i="116"/>
  <c r="O1" i="115"/>
  <c r="O2" i="115"/>
  <c r="O2" i="114"/>
  <c r="O2" i="113"/>
  <c r="O1" i="113"/>
  <c r="T12" i="112"/>
  <c r="S12" i="112"/>
  <c r="T11" i="112"/>
  <c r="S11" i="112"/>
  <c r="T10" i="112"/>
  <c r="S10" i="112"/>
  <c r="T9" i="112"/>
  <c r="S9" i="112"/>
  <c r="T8" i="112"/>
  <c r="S8" i="112"/>
  <c r="T7" i="112"/>
  <c r="S7" i="112"/>
  <c r="T6" i="112"/>
  <c r="S6" i="112"/>
  <c r="T5" i="112"/>
  <c r="S5" i="112"/>
  <c r="O1" i="112" s="1"/>
  <c r="T4" i="112"/>
  <c r="O2" i="112" s="1"/>
  <c r="S4" i="112"/>
  <c r="T12" i="110"/>
  <c r="S12" i="110"/>
  <c r="T11" i="110"/>
  <c r="S11" i="110"/>
  <c r="T10" i="110"/>
  <c r="S10" i="110"/>
  <c r="T9" i="110"/>
  <c r="S9" i="110"/>
  <c r="T8" i="110"/>
  <c r="S8" i="110"/>
  <c r="T7" i="110"/>
  <c r="S7" i="110"/>
  <c r="T6" i="110"/>
  <c r="S6" i="110"/>
  <c r="T5" i="110"/>
  <c r="S5" i="110"/>
  <c r="T4" i="110"/>
  <c r="S4" i="110"/>
  <c r="T12" i="109"/>
  <c r="S12" i="109"/>
  <c r="T11" i="109"/>
  <c r="S11" i="109"/>
  <c r="T10" i="109"/>
  <c r="S10" i="109"/>
  <c r="T9" i="109"/>
  <c r="S9" i="109"/>
  <c r="T8" i="109"/>
  <c r="S8" i="109"/>
  <c r="T7" i="109"/>
  <c r="S7" i="109"/>
  <c r="T6" i="109"/>
  <c r="S6" i="109"/>
  <c r="T5" i="109"/>
  <c r="S5" i="109"/>
  <c r="T4" i="109"/>
  <c r="S4" i="109"/>
  <c r="O2" i="109"/>
  <c r="O1" i="109"/>
  <c r="O2" i="110" l="1"/>
  <c r="O1" i="110"/>
  <c r="T12" i="13" l="1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O1" i="13"/>
  <c r="T12" i="12"/>
  <c r="S12" i="12"/>
  <c r="T11" i="12"/>
  <c r="S11" i="12"/>
  <c r="T10" i="12"/>
  <c r="S10" i="12"/>
  <c r="T9" i="12"/>
  <c r="S9" i="12"/>
  <c r="T8" i="12"/>
  <c r="S8" i="12"/>
  <c r="T7" i="12"/>
  <c r="S7" i="12"/>
  <c r="T6" i="12"/>
  <c r="S6" i="12"/>
  <c r="T5" i="12"/>
  <c r="S5" i="12"/>
  <c r="T4" i="12"/>
  <c r="O2" i="12" s="1"/>
  <c r="S4" i="12"/>
  <c r="O1" i="12"/>
  <c r="T12" i="11"/>
  <c r="S12" i="11"/>
  <c r="T11" i="11"/>
  <c r="S11" i="11"/>
  <c r="T10" i="11"/>
  <c r="S10" i="11"/>
  <c r="T9" i="11"/>
  <c r="S9" i="11"/>
  <c r="T8" i="11"/>
  <c r="S8" i="11"/>
  <c r="T7" i="11"/>
  <c r="O2" i="11" s="1"/>
  <c r="S7" i="11"/>
  <c r="T6" i="11"/>
  <c r="S6" i="11"/>
  <c r="T5" i="11"/>
  <c r="S5" i="11"/>
  <c r="T4" i="11"/>
  <c r="S4" i="11"/>
  <c r="O1" i="11" s="1"/>
  <c r="T12" i="10"/>
  <c r="S12" i="10"/>
  <c r="T11" i="10"/>
  <c r="S11" i="10"/>
  <c r="T10" i="10"/>
  <c r="S10" i="10"/>
  <c r="T9" i="10"/>
  <c r="S9" i="10"/>
  <c r="T8" i="10"/>
  <c r="S8" i="10"/>
  <c r="T7" i="10"/>
  <c r="O2" i="10" s="1"/>
  <c r="S7" i="10"/>
  <c r="O1" i="10" s="1"/>
  <c r="T6" i="10"/>
  <c r="S6" i="10"/>
  <c r="T5" i="10"/>
  <c r="S5" i="10"/>
  <c r="T4" i="10"/>
  <c r="S4" i="10"/>
  <c r="T12" i="9"/>
  <c r="S12" i="9"/>
  <c r="T11" i="9"/>
  <c r="S11" i="9"/>
  <c r="T10" i="9"/>
  <c r="S10" i="9"/>
  <c r="T9" i="9"/>
  <c r="S9" i="9"/>
  <c r="T8" i="9"/>
  <c r="S8" i="9"/>
  <c r="T7" i="9"/>
  <c r="O2" i="9" s="1"/>
  <c r="S7" i="9"/>
  <c r="O1" i="9" s="1"/>
  <c r="T6" i="9"/>
  <c r="S6" i="9"/>
  <c r="T5" i="9"/>
  <c r="S5" i="9"/>
  <c r="T4" i="9"/>
  <c r="S4" i="9"/>
  <c r="T12" i="8"/>
  <c r="S12" i="8"/>
  <c r="T11" i="8"/>
  <c r="S11" i="8"/>
  <c r="T10" i="8"/>
  <c r="S10" i="8"/>
  <c r="T9" i="8"/>
  <c r="S9" i="8"/>
  <c r="T8" i="8"/>
  <c r="S8" i="8"/>
  <c r="T7" i="8"/>
  <c r="S7" i="8"/>
  <c r="O1" i="8" s="1"/>
  <c r="T6" i="8"/>
  <c r="S6" i="8"/>
  <c r="T5" i="8"/>
  <c r="S5" i="8"/>
  <c r="T4" i="8"/>
  <c r="S4" i="8"/>
  <c r="T12" i="7"/>
  <c r="S12" i="7"/>
  <c r="T11" i="7"/>
  <c r="S11" i="7"/>
  <c r="T10" i="7"/>
  <c r="S10" i="7"/>
  <c r="T9" i="7"/>
  <c r="S9" i="7"/>
  <c r="T8" i="7"/>
  <c r="S8" i="7"/>
  <c r="T7" i="7"/>
  <c r="S7" i="7"/>
  <c r="O1" i="7" s="1"/>
  <c r="T6" i="7"/>
  <c r="S6" i="7"/>
  <c r="T5" i="7"/>
  <c r="S5" i="7"/>
  <c r="T4" i="7"/>
  <c r="S4" i="7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T5" i="6"/>
  <c r="S5" i="6"/>
  <c r="T4" i="6"/>
  <c r="S4" i="6"/>
  <c r="O2" i="6"/>
  <c r="O1" i="6"/>
  <c r="T12" i="5"/>
  <c r="S12" i="5"/>
  <c r="T11" i="5"/>
  <c r="S11" i="5"/>
  <c r="T10" i="5"/>
  <c r="S10" i="5"/>
  <c r="T9" i="5"/>
  <c r="S9" i="5"/>
  <c r="T8" i="5"/>
  <c r="S8" i="5"/>
  <c r="T7" i="5"/>
  <c r="S7" i="5"/>
  <c r="T6" i="5"/>
  <c r="O2" i="5" s="1"/>
  <c r="S6" i="5"/>
  <c r="T5" i="5"/>
  <c r="S5" i="5"/>
  <c r="T4" i="5"/>
  <c r="S4" i="5"/>
  <c r="O1" i="5"/>
  <c r="T12" i="4"/>
  <c r="S12" i="4"/>
  <c r="T11" i="4"/>
  <c r="S11" i="4"/>
  <c r="T10" i="4"/>
  <c r="S10" i="4"/>
  <c r="T9" i="4"/>
  <c r="S9" i="4"/>
  <c r="T8" i="4"/>
  <c r="S8" i="4"/>
  <c r="T7" i="4"/>
  <c r="O2" i="4" s="1"/>
  <c r="S7" i="4"/>
  <c r="O1" i="4" s="1"/>
  <c r="T6" i="4"/>
  <c r="S6" i="4"/>
  <c r="T5" i="4"/>
  <c r="S5" i="4"/>
  <c r="T4" i="4"/>
  <c r="S4" i="4"/>
  <c r="T12" i="3"/>
  <c r="S12" i="3"/>
  <c r="T11" i="3"/>
  <c r="S11" i="3"/>
  <c r="O1" i="3" s="1"/>
  <c r="T10" i="3"/>
  <c r="S10" i="3"/>
  <c r="T9" i="3"/>
  <c r="S9" i="3"/>
  <c r="T8" i="3"/>
  <c r="S8" i="3"/>
  <c r="T7" i="3"/>
  <c r="S7" i="3"/>
  <c r="T6" i="3"/>
  <c r="O2" i="3" s="1"/>
  <c r="S6" i="3"/>
  <c r="T5" i="3"/>
  <c r="S5" i="3"/>
  <c r="T4" i="3"/>
  <c r="S4" i="3"/>
  <c r="T12" i="2"/>
  <c r="S12" i="2"/>
  <c r="T11" i="2"/>
  <c r="S11" i="2"/>
  <c r="T10" i="2"/>
  <c r="S10" i="2"/>
  <c r="T9" i="2"/>
  <c r="S9" i="2"/>
  <c r="T8" i="2"/>
  <c r="O2" i="2" s="1"/>
  <c r="S8" i="2"/>
  <c r="T7" i="2"/>
  <c r="S7" i="2"/>
  <c r="T6" i="2"/>
  <c r="S6" i="2"/>
  <c r="T5" i="2"/>
  <c r="S5" i="2"/>
  <c r="T4" i="2"/>
  <c r="S4" i="2"/>
  <c r="O1" i="2"/>
  <c r="O2" i="13" l="1"/>
  <c r="O2" i="8"/>
  <c r="O2" i="7"/>
</calcChain>
</file>

<file path=xl/sharedStrings.xml><?xml version="1.0" encoding="utf-8"?>
<sst xmlns="http://schemas.openxmlformats.org/spreadsheetml/2006/main" count="1071" uniqueCount="35">
  <si>
    <t>Sensor State as on</t>
  </si>
  <si>
    <t>Weekly Sensor Status KPI</t>
  </si>
  <si>
    <t>Monitoring</t>
  </si>
  <si>
    <t>Up Time</t>
  </si>
  <si>
    <t>OPC Data</t>
  </si>
  <si>
    <t>Daily Sensor Status KPI</t>
  </si>
  <si>
    <t>Sensor weekly state</t>
  </si>
  <si>
    <t>Sensor</t>
  </si>
  <si>
    <t>Y</t>
  </si>
  <si>
    <t>M</t>
  </si>
  <si>
    <t>W</t>
  </si>
  <si>
    <t>D</t>
  </si>
  <si>
    <t>Reason</t>
  </si>
  <si>
    <t>Ticket No</t>
  </si>
  <si>
    <t>Corrective Action</t>
  </si>
  <si>
    <t>On?</t>
  </si>
  <si>
    <t>Impact?</t>
  </si>
  <si>
    <t>Weekly OK?</t>
  </si>
  <si>
    <t>Daily OK?</t>
  </si>
  <si>
    <t>kio_sis_j141_lynxx_001</t>
  </si>
  <si>
    <t>med</t>
  </si>
  <si>
    <t>kio_sis_j142_lynxx_001</t>
  </si>
  <si>
    <t>kio_sis_j143_lynxx_001</t>
  </si>
  <si>
    <t>kio_sis_j144_lynxx_001</t>
  </si>
  <si>
    <t>kio_sis_j153_lynxx_001</t>
  </si>
  <si>
    <t>kio_sis_j251_lynxx_001</t>
  </si>
  <si>
    <t>kio_sis_jigeast_truckpsa_stats_001</t>
  </si>
  <si>
    <t>kio_sis_jigpocket_cvpsa_001</t>
  </si>
  <si>
    <t xml:space="preserve">Commisioning still ongoing. </t>
  </si>
  <si>
    <t>MS-9535</t>
  </si>
  <si>
    <t>Handover to support in progress</t>
  </si>
  <si>
    <t>kio_sis_jigwest_truckpsa_stats_001</t>
  </si>
  <si>
    <t>kio_sis_jig_server_health_truck_system_health</t>
  </si>
  <si>
    <t>N/A</t>
  </si>
  <si>
    <t>kio_sis_server_sisstone3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</si>
</sst>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9" fontId="4" fillId="0" borderId="1" xfId="1" applyFont="1" applyBorder="1"/>
    <xf numFmtId="9" fontId="4" fillId="0" borderId="1" xfId="1" applyFont="1" applyFill="1" applyBorder="1"/>
    <xf numFmtId="9" fontId="3" fillId="2" borderId="1" xfId="1" applyFont="1" applyFill="1" applyBorder="1" applyAlignment="1"/>
    <xf numFmtId="1" fontId="0" fillId="0" borderId="1" xfId="0" applyNumberFormat="1" applyBorder="1"/>
    <xf numFmtId="1" fontId="3" fillId="2" borderId="1" xfId="0" applyNumberFormat="1" applyFont="1" applyFill="1" applyBorder="1" applyAlignment="1">
      <alignment horizontal="right"/>
    </xf>
    <xf numFmtId="9" fontId="3" fillId="2" borderId="1" xfId="1" applyFont="1" applyFill="1" applyBorder="1" applyAlignment="1">
      <alignment horizontal="right"/>
    </xf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1" fontId="3" fillId="2" borderId="4" xfId="0" applyNumberFormat="1" applyFont="1" applyFill="1" applyBorder="1"/>
    <xf numFmtId="1" fontId="2" fillId="2" borderId="1" xfId="0" applyNumberFormat="1" applyFont="1" applyFill="1" applyBorder="1"/>
    <xf numFmtId="1" fontId="2" fillId="2" borderId="1" xfId="0" applyNumberFormat="1" applyFont="1" applyFill="1" applyBorder="1" applyAlignment="1">
      <alignment horizontal="center"/>
    </xf>
    <xf numFmtId="9" fontId="2" fillId="2" borderId="1" xfId="1" applyFont="1" applyFill="1" applyBorder="1"/>
    <xf numFmtId="164" fontId="2" fillId="2" borderId="1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0" xfId="0" applyNumberFormat="1"/>
    <xf numFmtId="1" fontId="0" fillId="0" borderId="1" xfId="0" applyNumberFormat="1" applyBorder="1" applyAlignment="1">
      <alignment horizontal="center"/>
    </xf>
    <xf numFmtId="9" fontId="0" fillId="0" borderId="1" xfId="1" applyFont="1" applyBorder="1"/>
    <xf numFmtId="164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1" xfId="1" applyFont="1" applyBorder="1" applyAlignment="1">
      <alignment vertical="top" wrapText="1"/>
    </xf>
    <xf numFmtId="1" fontId="0" fillId="0" borderId="1" xfId="0" applyNumberFormat="1" applyBorder="1" applyAlignment="1">
      <alignment vertical="top" wrapText="1"/>
    </xf>
  </cellXfs>
  <cellStyles count="2">
    <cellStyle name="Normal" xfId="0" builtinId="0"/>
    <cellStyle name="Percent" xfId="1" builtinId="5"/>
  </cellStyles>
  <dxfs count="621"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B22E-DE51-427B-B21A-BF5018EA6250}">
  <dimension ref="A1:T14"/>
  <sheetViews>
    <sheetView zoomScale="70" zoomScaleNormal="70" workbookViewId="0">
      <selection activeCell="G3" sqref="A1:T12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 t="e">
        <f>SUMIF(S4:S12,TRUE,Q4:Q12)/SUM(Q4:Q12)</f>
        <v>#DIV/0!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 t="e">
        <f>SUMIF(T4:T12,TRUE,Q4:Q12)/SUM(Q4:Q12)</f>
        <v>#DIV/0!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S4" s="6" t="b">
        <f t="shared" ref="S4:T12" si="0">NOT(OR((D4&lt;=$Q$1),(H4&lt;=$R$1),(L4&lt;=$S$1)))</f>
        <v>0</v>
      </c>
      <c r="T4" s="6" t="b">
        <f>NOT(OR((E4&lt;=$Q$1),(I4&lt;=$R$1),(M4&lt;=$S$1)))</f>
        <v>0</v>
      </c>
    </row>
    <row r="5" spans="1:20" x14ac:dyDescent="0.35">
      <c r="S5" s="6" t="b">
        <f t="shared" si="0"/>
        <v>0</v>
      </c>
      <c r="T5" s="6" t="b">
        <f>NOT(OR((E5&lt;=$Q$1),(I5&lt;=$R$1),(M5&lt;=$S$1)))</f>
        <v>0</v>
      </c>
    </row>
    <row r="6" spans="1:20" x14ac:dyDescent="0.35">
      <c r="S6" s="6" t="b">
        <f t="shared" si="0"/>
        <v>0</v>
      </c>
      <c r="T6" s="6" t="b">
        <f t="shared" si="0"/>
        <v>0</v>
      </c>
    </row>
    <row r="7" spans="1:20" x14ac:dyDescent="0.35">
      <c r="S7" s="6" t="b">
        <f t="shared" si="0"/>
        <v>0</v>
      </c>
      <c r="T7" s="6" t="b">
        <f t="shared" si="0"/>
        <v>0</v>
      </c>
    </row>
    <row r="8" spans="1:20" x14ac:dyDescent="0.35">
      <c r="S8" s="6" t="b">
        <f t="shared" si="0"/>
        <v>0</v>
      </c>
      <c r="T8" s="6" t="b">
        <f t="shared" si="0"/>
        <v>0</v>
      </c>
    </row>
    <row r="9" spans="1:20" x14ac:dyDescent="0.35">
      <c r="S9" s="6" t="b">
        <f t="shared" si="0"/>
        <v>0</v>
      </c>
      <c r="T9" s="6" t="b">
        <f t="shared" si="0"/>
        <v>0</v>
      </c>
    </row>
    <row r="10" spans="1:20" x14ac:dyDescent="0.35">
      <c r="S10" s="6" t="b">
        <f t="shared" si="0"/>
        <v>0</v>
      </c>
      <c r="T10" s="6" t="b">
        <f t="shared" si="0"/>
        <v>0</v>
      </c>
    </row>
    <row r="11" spans="1:20" x14ac:dyDescent="0.35">
      <c r="S11" s="6" t="b">
        <f t="shared" si="0"/>
        <v>0</v>
      </c>
      <c r="T11" s="6" t="b">
        <f t="shared" si="0"/>
        <v>0</v>
      </c>
    </row>
    <row r="12" spans="1:20" x14ac:dyDescent="0.35">
      <c r="S12" s="6" t="b">
        <f t="shared" si="0"/>
        <v>0</v>
      </c>
      <c r="T12" s="6" t="b">
        <f t="shared" si="0"/>
        <v>0</v>
      </c>
    </row>
    <row r="13" spans="1:20" x14ac:dyDescent="0.35">
      <c r="S13" s="6"/>
      <c r="T13" s="24"/>
    </row>
    <row r="14" spans="1:20" x14ac:dyDescent="0.35">
      <c r="S14" s="24"/>
      <c r="T14" s="24"/>
    </row>
  </sheetData>
  <conditionalFormatting sqref="B3:E3">
    <cfRule type="colorScale" priority="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8" stopIfTrue="1">
      <formula>LEN(TRIM(A1))=0</formula>
    </cfRule>
    <cfRule type="containsText" dxfId="620" priority="10" stopIfTrue="1" operator="containsText" text="fcd">
      <formula>NOT(ISERROR(SEARCH("fcd",A1)))</formula>
    </cfRule>
    <cfRule type="containsText" dxfId="619" priority="11" stopIfTrue="1" operator="containsText" text="server">
      <formula>NOT(ISERROR(SEARCH("server",A1)))</formula>
    </cfRule>
    <cfRule type="containsText" dxfId="618" priority="12" stopIfTrue="1" operator="containsText" text="ft">
      <formula>NOT(ISERROR(SEARCH("ft",A1)))</formula>
    </cfRule>
    <cfRule type="containsText" dxfId="617" priority="13" stopIfTrue="1" operator="containsText" text="lynxx_">
      <formula>NOT(ISERROR(SEARCH("lynxx_",A1)))</formula>
    </cfRule>
    <cfRule type="containsText" dxfId="616" priority="14" operator="containsText" text="_">
      <formula>NOT(ISERROR(SEARCH("_",A1)))</formula>
    </cfRule>
  </conditionalFormatting>
  <conditionalFormatting sqref="F3:I3">
    <cfRule type="colorScale" priority="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6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15" priority="5" operator="equal">
      <formula>FALSE</formula>
    </cfRule>
  </conditionalFormatting>
  <conditionalFormatting sqref="T1:T3">
    <cfRule type="cellIs" dxfId="614" priority="4" operator="equal">
      <formula>FALSE</formula>
    </cfRule>
  </conditionalFormatting>
  <conditionalFormatting sqref="O1:O2">
    <cfRule type="colorScale" priority="3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13" priority="2" operator="equal">
      <formula>FALSE</formula>
    </cfRule>
  </conditionalFormatting>
  <conditionalFormatting sqref="T4:T12">
    <cfRule type="cellIs" dxfId="612" priority="1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D04E-E437-40DA-ADCE-75E017E3ED3E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92.082786560058594</v>
      </c>
      <c r="C4" s="17">
        <v>94.149505615234375</v>
      </c>
      <c r="D4" s="17">
        <v>96.43316650390625</v>
      </c>
      <c r="E4" s="17">
        <v>96.385246276855469</v>
      </c>
      <c r="F4" s="17">
        <v>94.239952087402344</v>
      </c>
      <c r="G4" s="17">
        <v>98.256248474121094</v>
      </c>
      <c r="H4" s="17">
        <v>99.999809265136719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92.149604797363281</v>
      </c>
      <c r="C5" s="17">
        <v>94.164108276367188</v>
      </c>
      <c r="D5" s="17">
        <v>96.387626647949219</v>
      </c>
      <c r="E5" s="17">
        <v>96.385238647460938</v>
      </c>
      <c r="F5" s="17">
        <v>88.055503845214844</v>
      </c>
      <c r="G5" s="17">
        <v>98.388534545898438</v>
      </c>
      <c r="H5" s="17">
        <v>99.999809265136719</v>
      </c>
      <c r="I5" s="17">
        <v>99.99884033203125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92.233642578125</v>
      </c>
      <c r="C6" s="17">
        <v>94.169044494628906</v>
      </c>
      <c r="D6" s="17">
        <v>96.433265686035156</v>
      </c>
      <c r="E6" s="17">
        <v>96.246330261230469</v>
      </c>
      <c r="F6" s="17">
        <v>99.861122131347656</v>
      </c>
      <c r="G6" s="17">
        <v>99.118034362792969</v>
      </c>
      <c r="H6" s="17">
        <v>99.995811462402344</v>
      </c>
      <c r="I6" s="17">
        <v>99.99884033203125</v>
      </c>
      <c r="J6" s="17">
        <v>99.179092407226563</v>
      </c>
      <c r="K6" s="17">
        <v>99.987495422363281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92.151435852050781</v>
      </c>
      <c r="C7" s="17">
        <v>94.187767028808594</v>
      </c>
      <c r="D7" s="17">
        <v>96.433219909667969</v>
      </c>
      <c r="E7" s="17">
        <v>96.388694763183594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99.535263061523438</v>
      </c>
      <c r="K7" s="17">
        <v>99.987510681152344</v>
      </c>
      <c r="L7" s="17">
        <v>99.999809265136719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92.180290222167969</v>
      </c>
      <c r="C8" s="17">
        <v>94.231201171875</v>
      </c>
      <c r="D8" s="17">
        <v>96.433929443359375</v>
      </c>
      <c r="E8" s="17">
        <v>96.385223388671875</v>
      </c>
      <c r="F8" s="17">
        <v>98.487060546875</v>
      </c>
      <c r="G8" s="17">
        <v>96.3297119140625</v>
      </c>
      <c r="H8" s="17">
        <v>99.999809265136719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90.639472961425781</v>
      </c>
      <c r="C9" s="17">
        <v>94.253952026367188</v>
      </c>
      <c r="D9" s="17">
        <v>96.517501831054688</v>
      </c>
      <c r="E9" s="17">
        <v>96.527549743652344</v>
      </c>
      <c r="F9" s="17">
        <v>95.379066467285156</v>
      </c>
      <c r="G9" s="17">
        <v>99.115333557128906</v>
      </c>
      <c r="H9" s="17">
        <v>99.993026733398438</v>
      </c>
      <c r="I9" s="17">
        <v>99.99884033203125</v>
      </c>
      <c r="J9" s="17">
        <v>98.0111083984375</v>
      </c>
      <c r="K9" s="17">
        <v>99.904594421386719</v>
      </c>
      <c r="L9" s="17">
        <v>99.867835998535156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79.006431579589844</v>
      </c>
      <c r="C10" s="17">
        <v>90.798942565917969</v>
      </c>
      <c r="D10" s="17">
        <v>80.299148559570313</v>
      </c>
      <c r="E10" s="17">
        <v>0</v>
      </c>
      <c r="F10" s="17">
        <v>96.870223999023438</v>
      </c>
      <c r="G10" s="17">
        <v>97.639633178710938</v>
      </c>
      <c r="H10" s="17">
        <v>99.999771118164063</v>
      </c>
      <c r="I10" s="17">
        <v>0</v>
      </c>
      <c r="J10" s="17">
        <v>88.932373046875</v>
      </c>
      <c r="K10" s="17">
        <v>99.999961853027344</v>
      </c>
      <c r="L10" s="17">
        <v>99.999771118164063</v>
      </c>
      <c r="M10" s="17">
        <v>0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0</v>
      </c>
    </row>
    <row r="11" spans="1:20" x14ac:dyDescent="0.35">
      <c r="A11" s="16" t="s">
        <v>27</v>
      </c>
      <c r="B11" s="17">
        <v>79.219886779785156</v>
      </c>
      <c r="C11" s="17">
        <v>90.66387939453125</v>
      </c>
      <c r="D11" s="17">
        <v>80.201278686523438</v>
      </c>
      <c r="E11" s="17">
        <v>0</v>
      </c>
      <c r="F11" s="17">
        <v>63.112499237060547</v>
      </c>
      <c r="G11" s="17">
        <v>16.432018280029297</v>
      </c>
      <c r="H11" s="17">
        <v>46.338016510009766</v>
      </c>
      <c r="I11" s="17">
        <v>0</v>
      </c>
      <c r="J11" s="17">
        <v>61.590007781982422</v>
      </c>
      <c r="K11" s="17">
        <v>94.811614990234375</v>
      </c>
      <c r="L11" s="17">
        <v>83.243721008300781</v>
      </c>
      <c r="M11" s="17">
        <v>0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78.618202209472656</v>
      </c>
      <c r="C12" s="17">
        <v>82.584030151367188</v>
      </c>
      <c r="D12" s="17">
        <v>80.343154907226563</v>
      </c>
      <c r="E12" s="17">
        <v>0</v>
      </c>
      <c r="F12" s="17">
        <v>96.745155334472656</v>
      </c>
      <c r="G12" s="17">
        <v>97.481300354003906</v>
      </c>
      <c r="H12" s="17">
        <v>99.345413208007813</v>
      </c>
      <c r="I12" s="17">
        <v>0</v>
      </c>
      <c r="J12" s="17">
        <v>88.855369567871094</v>
      </c>
      <c r="K12" s="17">
        <v>99.999954223632813</v>
      </c>
      <c r="L12" s="17">
        <v>99.999771118164063</v>
      </c>
      <c r="M12" s="17">
        <v>0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0</v>
      </c>
    </row>
    <row r="13" spans="1:20" x14ac:dyDescent="0.35">
      <c r="A13" s="16" t="s">
        <v>32</v>
      </c>
      <c r="B13" s="17">
        <v>78.729965209960938</v>
      </c>
      <c r="C13" s="17">
        <v>89.921058654785156</v>
      </c>
      <c r="D13" s="17">
        <v>79.788192749023438</v>
      </c>
      <c r="E13" s="17">
        <v>0</v>
      </c>
      <c r="F13" s="17">
        <v>100</v>
      </c>
      <c r="G13" s="17">
        <v>99.999961853027344</v>
      </c>
      <c r="H13" s="17">
        <v>99.999771118164063</v>
      </c>
      <c r="I13" s="17">
        <v>0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89.619873046875</v>
      </c>
      <c r="C14" s="17">
        <v>91.454139709472656</v>
      </c>
      <c r="D14" s="17">
        <v>94.781059265136719</v>
      </c>
      <c r="E14" s="17">
        <v>93.616897583007813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611" priority="44" stopIfTrue="1" operator="containsText" text="fcd">
      <formula>NOT(ISERROR(SEARCH("fcd",A1)))</formula>
    </cfRule>
    <cfRule type="containsText" dxfId="610" priority="45" stopIfTrue="1" operator="containsText" text="server">
      <formula>NOT(ISERROR(SEARCH("server",A1)))</formula>
    </cfRule>
    <cfRule type="containsText" dxfId="609" priority="46" stopIfTrue="1" operator="containsText" text="ft">
      <formula>NOT(ISERROR(SEARCH("ft",A1)))</formula>
    </cfRule>
    <cfRule type="containsText" dxfId="608" priority="47" stopIfTrue="1" operator="containsText" text="lynxx_">
      <formula>NOT(ISERROR(SEARCH("lynxx_",A1)))</formula>
    </cfRule>
    <cfRule type="containsText" dxfId="60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606" priority="39" operator="equal">
      <formula>FALSE</formula>
    </cfRule>
  </conditionalFormatting>
  <conditionalFormatting sqref="T1:T3">
    <cfRule type="cellIs" dxfId="60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604" priority="36" operator="equal">
      <formula>FALSE</formula>
    </cfRule>
  </conditionalFormatting>
  <conditionalFormatting sqref="T4:T12">
    <cfRule type="cellIs" dxfId="60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602" priority="30" stopIfTrue="1" operator="containsText" text="fcd">
      <formula>NOT(ISERROR(SEARCH("fcd",A4)))</formula>
    </cfRule>
    <cfRule type="containsText" dxfId="601" priority="31" stopIfTrue="1" operator="containsText" text="server">
      <formula>NOT(ISERROR(SEARCH("server",A4)))</formula>
    </cfRule>
    <cfRule type="containsText" dxfId="600" priority="32" stopIfTrue="1" operator="containsText" text="ft">
      <formula>NOT(ISERROR(SEARCH("ft",A4)))</formula>
    </cfRule>
    <cfRule type="containsText" dxfId="599" priority="33" stopIfTrue="1" operator="containsText" text="lynxx_">
      <formula>NOT(ISERROR(SEARCH("lynxx_",A4)))</formula>
    </cfRule>
    <cfRule type="containsText" dxfId="59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97" priority="23" operator="equal">
      <formula>"N/A"</formula>
    </cfRule>
    <cfRule type="cellIs" dxfId="596" priority="24" operator="equal">
      <formula>"OK"</formula>
    </cfRule>
    <cfRule type="containsText" dxfId="595" priority="25" operator="containsText" text="Unsure">
      <formula>NOT(ISERROR(SEARCH("Unsure",J13)))</formula>
    </cfRule>
    <cfRule type="containsText" dxfId="594" priority="26" operator="containsText" text="Can't See">
      <formula>NOT(ISERROR(SEARCH("Can't See",J13)))</formula>
    </cfRule>
    <cfRule type="notContainsText" dxfId="59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92" priority="15" stopIfTrue="1" operator="containsText" text="fcd">
      <formula>NOT(ISERROR(SEARCH("fcd",A10)))</formula>
    </cfRule>
    <cfRule type="containsText" dxfId="591" priority="16" stopIfTrue="1" operator="containsText" text="server">
      <formula>NOT(ISERROR(SEARCH("server",A10)))</formula>
    </cfRule>
    <cfRule type="containsText" dxfId="590" priority="17" stopIfTrue="1" operator="containsText" text="ft">
      <formula>NOT(ISERROR(SEARCH("ft",A10)))</formula>
    </cfRule>
    <cfRule type="containsText" dxfId="589" priority="18" stopIfTrue="1" operator="containsText" text="lynxx_">
      <formula>NOT(ISERROR(SEARCH("lynxx_",A10)))</formula>
    </cfRule>
    <cfRule type="containsText" dxfId="58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87" priority="9" operator="equal">
      <formula>"N/A"</formula>
    </cfRule>
    <cfRule type="cellIs" dxfId="586" priority="10" operator="equal">
      <formula>"OK"</formula>
    </cfRule>
    <cfRule type="containsText" dxfId="585" priority="11" operator="containsText" text="Unsure">
      <formula>NOT(ISERROR(SEARCH("Unsure",J11)))</formula>
    </cfRule>
    <cfRule type="containsText" dxfId="584" priority="12" operator="containsText" text="Can't See">
      <formula>NOT(ISERROR(SEARCH("Can't See",J11)))</formula>
    </cfRule>
    <cfRule type="notContainsText" dxfId="58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82" priority="3" stopIfTrue="1" operator="containsText" text="fcd">
      <formula>NOT(ISERROR(SEARCH("fcd",A11)))</formula>
    </cfRule>
    <cfRule type="containsText" dxfId="581" priority="4" stopIfTrue="1" operator="containsText" text="server">
      <formula>NOT(ISERROR(SEARCH("server",A11)))</formula>
    </cfRule>
    <cfRule type="containsText" dxfId="580" priority="5" stopIfTrue="1" operator="containsText" text="ft">
      <formula>NOT(ISERROR(SEARCH("ft",A11)))</formula>
    </cfRule>
    <cfRule type="containsText" dxfId="579" priority="6" stopIfTrue="1" operator="containsText" text="lynxx_">
      <formula>NOT(ISERROR(SEARCH("lynxx_",A11)))</formula>
    </cfRule>
    <cfRule type="containsText" dxfId="57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4EDE-8D04-48F8-80A0-0A63AD35836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0.25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92.063034057617188</v>
      </c>
      <c r="C4" s="17">
        <v>93.761299133300781</v>
      </c>
      <c r="D4" s="17">
        <v>94.511077880859375</v>
      </c>
      <c r="E4" s="17">
        <v>84.851730346679688</v>
      </c>
      <c r="F4" s="17">
        <v>94.533203125</v>
      </c>
      <c r="G4" s="17">
        <v>98.256248474121094</v>
      </c>
      <c r="H4" s="17">
        <v>99.999809265136719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0</v>
      </c>
    </row>
    <row r="5" spans="1:20" x14ac:dyDescent="0.35">
      <c r="A5" s="16" t="s">
        <v>21</v>
      </c>
      <c r="B5" s="17">
        <v>92.1302490234375</v>
      </c>
      <c r="C5" s="17">
        <v>93.780670166015625</v>
      </c>
      <c r="D5" s="17">
        <v>94.487800598144531</v>
      </c>
      <c r="E5" s="17">
        <v>84.989936828613281</v>
      </c>
      <c r="F5" s="17">
        <v>88.055488586425781</v>
      </c>
      <c r="G5" s="17">
        <v>98.388351440429688</v>
      </c>
      <c r="H5" s="17">
        <v>99.9989013671875</v>
      </c>
      <c r="I5" s="17">
        <v>99.993385314941406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0</v>
      </c>
    </row>
    <row r="6" spans="1:20" x14ac:dyDescent="0.35">
      <c r="A6" s="16" t="s">
        <v>22</v>
      </c>
      <c r="B6" s="17">
        <v>92.214698791503906</v>
      </c>
      <c r="C6" s="17">
        <v>93.790489196777344</v>
      </c>
      <c r="D6" s="17">
        <v>94.533561706542969</v>
      </c>
      <c r="E6" s="17">
        <v>85.129562377929688</v>
      </c>
      <c r="F6" s="17">
        <v>99.861122131347656</v>
      </c>
      <c r="G6" s="17">
        <v>99.118034362792969</v>
      </c>
      <c r="H6" s="17">
        <v>99.995811462402344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92.132087707519531</v>
      </c>
      <c r="C7" s="17">
        <v>93.804313659667969</v>
      </c>
      <c r="D7" s="17">
        <v>94.510490417480469</v>
      </c>
      <c r="E7" s="17">
        <v>84.98956298828125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99.535263061523438</v>
      </c>
      <c r="K7" s="17">
        <v>99.987510681152344</v>
      </c>
      <c r="L7" s="17">
        <v>99.999809265136719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0</v>
      </c>
    </row>
    <row r="8" spans="1:20" x14ac:dyDescent="0.35">
      <c r="A8" s="6" t="s">
        <v>24</v>
      </c>
      <c r="B8" s="17">
        <v>92.160942077636719</v>
      </c>
      <c r="C8" s="17">
        <v>93.847785949707031</v>
      </c>
      <c r="D8" s="17">
        <v>94.534210205078125</v>
      </c>
      <c r="E8" s="17">
        <v>84.990608215332031</v>
      </c>
      <c r="F8" s="17">
        <v>98.487136840820313</v>
      </c>
      <c r="G8" s="17">
        <v>96.3297119140625</v>
      </c>
      <c r="H8" s="17">
        <v>99.999809265136719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0</v>
      </c>
    </row>
    <row r="9" spans="1:20" x14ac:dyDescent="0.35">
      <c r="A9" s="16" t="s">
        <v>25</v>
      </c>
      <c r="B9" s="17">
        <v>90.620491027832031</v>
      </c>
      <c r="C9" s="17">
        <v>93.874870300292969</v>
      </c>
      <c r="D9" s="17">
        <v>94.592636108398438</v>
      </c>
      <c r="E9" s="17">
        <v>85.116485595703125</v>
      </c>
      <c r="F9" s="17">
        <v>95.379058837890625</v>
      </c>
      <c r="G9" s="17">
        <v>99.114112854003906</v>
      </c>
      <c r="H9" s="17">
        <v>99.987129211425781</v>
      </c>
      <c r="I9" s="17">
        <v>99.963455200195313</v>
      </c>
      <c r="J9" s="17">
        <v>98.015785217285156</v>
      </c>
      <c r="K9" s="17">
        <v>99.904609680175781</v>
      </c>
      <c r="L9" s="17">
        <v>99.879837036132813</v>
      </c>
      <c r="M9" s="17">
        <v>99.926856994628906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79.006431579589844</v>
      </c>
      <c r="C10" s="17">
        <v>87.484909057617188</v>
      </c>
      <c r="D10" s="17">
        <v>64.212081909179688</v>
      </c>
      <c r="E10" s="17">
        <v>0</v>
      </c>
      <c r="F10" s="17">
        <v>96.870223999023438</v>
      </c>
      <c r="G10" s="17">
        <v>97.556793212890625</v>
      </c>
      <c r="H10" s="17">
        <v>99.999710083007813</v>
      </c>
      <c r="I10" s="17">
        <v>0</v>
      </c>
      <c r="J10" s="17">
        <v>89.223953247070313</v>
      </c>
      <c r="K10" s="17">
        <v>99.999954223632813</v>
      </c>
      <c r="L10" s="17">
        <v>99.999710083007813</v>
      </c>
      <c r="M10" s="17">
        <v>0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0</v>
      </c>
    </row>
    <row r="11" spans="1:20" x14ac:dyDescent="0.35">
      <c r="A11" s="16" t="s">
        <v>27</v>
      </c>
      <c r="B11" s="17">
        <v>78.954376220703125</v>
      </c>
      <c r="C11" s="17">
        <v>87.345664978027344</v>
      </c>
      <c r="D11" s="17">
        <v>64.115447998046875</v>
      </c>
      <c r="E11" s="17">
        <v>0</v>
      </c>
      <c r="F11" s="17">
        <v>63.321479797363281</v>
      </c>
      <c r="G11" s="17">
        <v>14.977280616760254</v>
      </c>
      <c r="H11" s="17">
        <v>47.237709045410156</v>
      </c>
      <c r="I11" s="17">
        <v>0</v>
      </c>
      <c r="J11" s="17">
        <v>61.791938781738281</v>
      </c>
      <c r="K11" s="17">
        <v>94.817626953125</v>
      </c>
      <c r="L11" s="17">
        <v>80.656585693359375</v>
      </c>
      <c r="M11" s="17">
        <v>0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78.618202209472656</v>
      </c>
      <c r="C12" s="17">
        <v>79.2701416015625</v>
      </c>
      <c r="D12" s="17">
        <v>64.256240844726563</v>
      </c>
      <c r="E12" s="17">
        <v>0</v>
      </c>
      <c r="F12" s="17">
        <v>96.745155334472656</v>
      </c>
      <c r="G12" s="17">
        <v>97.410545349121094</v>
      </c>
      <c r="H12" s="17">
        <v>99.192649841308594</v>
      </c>
      <c r="I12" s="17">
        <v>0</v>
      </c>
      <c r="J12" s="17">
        <v>89.14862060546875</v>
      </c>
      <c r="K12" s="17">
        <v>99.999954223632813</v>
      </c>
      <c r="L12" s="17">
        <v>99.999710083007813</v>
      </c>
      <c r="M12" s="17">
        <v>0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0</v>
      </c>
    </row>
    <row r="13" spans="1:20" x14ac:dyDescent="0.35">
      <c r="A13" s="16" t="s">
        <v>32</v>
      </c>
      <c r="B13" s="17">
        <v>78.440116882324219</v>
      </c>
      <c r="C13" s="17">
        <v>86.615463256835938</v>
      </c>
      <c r="D13" s="17">
        <v>63.817131042480469</v>
      </c>
      <c r="E13" s="17">
        <v>0</v>
      </c>
      <c r="F13" s="17">
        <v>100</v>
      </c>
      <c r="G13" s="17">
        <v>99.999954223632813</v>
      </c>
      <c r="H13" s="17">
        <v>99.999710083007813</v>
      </c>
      <c r="I13" s="17">
        <v>0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89.590065002441406</v>
      </c>
      <c r="C14" s="17">
        <v>91.126358032226563</v>
      </c>
      <c r="D14" s="17">
        <v>92.527389526367188</v>
      </c>
      <c r="E14" s="17">
        <v>81.15625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77" priority="44" stopIfTrue="1" operator="containsText" text="fcd">
      <formula>NOT(ISERROR(SEARCH("fcd",A1)))</formula>
    </cfRule>
    <cfRule type="containsText" dxfId="576" priority="45" stopIfTrue="1" operator="containsText" text="server">
      <formula>NOT(ISERROR(SEARCH("server",A1)))</formula>
    </cfRule>
    <cfRule type="containsText" dxfId="575" priority="46" stopIfTrue="1" operator="containsText" text="ft">
      <formula>NOT(ISERROR(SEARCH("ft",A1)))</formula>
    </cfRule>
    <cfRule type="containsText" dxfId="574" priority="47" stopIfTrue="1" operator="containsText" text="lynxx_">
      <formula>NOT(ISERROR(SEARCH("lynxx_",A1)))</formula>
    </cfRule>
    <cfRule type="containsText" dxfId="57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72" priority="39" operator="equal">
      <formula>FALSE</formula>
    </cfRule>
  </conditionalFormatting>
  <conditionalFormatting sqref="T1:T3">
    <cfRule type="cellIs" dxfId="57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70" priority="36" operator="equal">
      <formula>FALSE</formula>
    </cfRule>
  </conditionalFormatting>
  <conditionalFormatting sqref="T4:T12">
    <cfRule type="cellIs" dxfId="56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68" priority="30" stopIfTrue="1" operator="containsText" text="fcd">
      <formula>NOT(ISERROR(SEARCH("fcd",A4)))</formula>
    </cfRule>
    <cfRule type="containsText" dxfId="567" priority="31" stopIfTrue="1" operator="containsText" text="server">
      <formula>NOT(ISERROR(SEARCH("server",A4)))</formula>
    </cfRule>
    <cfRule type="containsText" dxfId="566" priority="32" stopIfTrue="1" operator="containsText" text="ft">
      <formula>NOT(ISERROR(SEARCH("ft",A4)))</formula>
    </cfRule>
    <cfRule type="containsText" dxfId="565" priority="33" stopIfTrue="1" operator="containsText" text="lynxx_">
      <formula>NOT(ISERROR(SEARCH("lynxx_",A4)))</formula>
    </cfRule>
    <cfRule type="containsText" dxfId="56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63" priority="23" operator="equal">
      <formula>"N/A"</formula>
    </cfRule>
    <cfRule type="cellIs" dxfId="562" priority="24" operator="equal">
      <formula>"OK"</formula>
    </cfRule>
    <cfRule type="containsText" dxfId="561" priority="25" operator="containsText" text="Unsure">
      <formula>NOT(ISERROR(SEARCH("Unsure",J13)))</formula>
    </cfRule>
    <cfRule type="containsText" dxfId="560" priority="26" operator="containsText" text="Can't See">
      <formula>NOT(ISERROR(SEARCH("Can't See",J13)))</formula>
    </cfRule>
    <cfRule type="notContainsText" dxfId="55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58" priority="15" stopIfTrue="1" operator="containsText" text="fcd">
      <formula>NOT(ISERROR(SEARCH("fcd",A10)))</formula>
    </cfRule>
    <cfRule type="containsText" dxfId="557" priority="16" stopIfTrue="1" operator="containsText" text="server">
      <formula>NOT(ISERROR(SEARCH("server",A10)))</formula>
    </cfRule>
    <cfRule type="containsText" dxfId="556" priority="17" stopIfTrue="1" operator="containsText" text="ft">
      <formula>NOT(ISERROR(SEARCH("ft",A10)))</formula>
    </cfRule>
    <cfRule type="containsText" dxfId="555" priority="18" stopIfTrue="1" operator="containsText" text="lynxx_">
      <formula>NOT(ISERROR(SEARCH("lynxx_",A10)))</formula>
    </cfRule>
    <cfRule type="containsText" dxfId="55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53" priority="9" operator="equal">
      <formula>"N/A"</formula>
    </cfRule>
    <cfRule type="cellIs" dxfId="552" priority="10" operator="equal">
      <formula>"OK"</formula>
    </cfRule>
    <cfRule type="containsText" dxfId="551" priority="11" operator="containsText" text="Unsure">
      <formula>NOT(ISERROR(SEARCH("Unsure",J11)))</formula>
    </cfRule>
    <cfRule type="containsText" dxfId="550" priority="12" operator="containsText" text="Can't See">
      <formula>NOT(ISERROR(SEARCH("Can't See",J11)))</formula>
    </cfRule>
    <cfRule type="notContainsText" dxfId="54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48" priority="3" stopIfTrue="1" operator="containsText" text="fcd">
      <formula>NOT(ISERROR(SEARCH("fcd",A11)))</formula>
    </cfRule>
    <cfRule type="containsText" dxfId="547" priority="4" stopIfTrue="1" operator="containsText" text="server">
      <formula>NOT(ISERROR(SEARCH("server",A11)))</formula>
    </cfRule>
    <cfRule type="containsText" dxfId="546" priority="5" stopIfTrue="1" operator="containsText" text="ft">
      <formula>NOT(ISERROR(SEARCH("ft",A11)))</formula>
    </cfRule>
    <cfRule type="containsText" dxfId="545" priority="6" stopIfTrue="1" operator="containsText" text="lynxx_">
      <formula>NOT(ISERROR(SEARCH("lynxx_",A11)))</formula>
    </cfRule>
    <cfRule type="containsText" dxfId="54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FAC3C-02B2-4437-B929-58DD0F803F9F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92.054176330566406</v>
      </c>
      <c r="C4" s="17">
        <v>93.790229797363281</v>
      </c>
      <c r="D4" s="17">
        <v>94.510910034179688</v>
      </c>
      <c r="E4" s="17">
        <v>96.665763854980469</v>
      </c>
      <c r="F4" s="17">
        <v>95.393798828125</v>
      </c>
      <c r="G4" s="17">
        <v>98.030784606933594</v>
      </c>
      <c r="H4" s="17">
        <v>98.910064697265625</v>
      </c>
      <c r="I4" s="17">
        <v>93.460456848144531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0</v>
      </c>
    </row>
    <row r="5" spans="1:20" x14ac:dyDescent="0.35">
      <c r="A5" s="16" t="s">
        <v>21</v>
      </c>
      <c r="B5" s="17">
        <v>92.120590209960938</v>
      </c>
      <c r="C5" s="17">
        <v>93.809593200683594</v>
      </c>
      <c r="D5" s="17">
        <v>94.510757446289063</v>
      </c>
      <c r="E5" s="17">
        <v>96.665946960449219</v>
      </c>
      <c r="F5" s="17">
        <v>88.023475646972656</v>
      </c>
      <c r="G5" s="17">
        <v>98.011917114257813</v>
      </c>
      <c r="H5" s="17">
        <v>98.179466247558594</v>
      </c>
      <c r="I5" s="17">
        <v>89.082382202148438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0</v>
      </c>
    </row>
    <row r="6" spans="1:20" x14ac:dyDescent="0.35">
      <c r="A6" s="16" t="s">
        <v>22</v>
      </c>
      <c r="B6" s="17">
        <v>92.206649780273438</v>
      </c>
      <c r="C6" s="17">
        <v>93.838447570800781</v>
      </c>
      <c r="D6" s="17">
        <v>94.602783203125</v>
      </c>
      <c r="E6" s="17">
        <v>96.665763854980469</v>
      </c>
      <c r="F6" s="17">
        <v>99.861122131347656</v>
      </c>
      <c r="G6" s="17">
        <v>99.118034362792969</v>
      </c>
      <c r="H6" s="17">
        <v>99.999809265136719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92.123634338378906</v>
      </c>
      <c r="C7" s="17">
        <v>93.837997436523438</v>
      </c>
      <c r="D7" s="17">
        <v>94.580345153808594</v>
      </c>
      <c r="E7" s="17">
        <v>96.665695190429688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99.533363342285156</v>
      </c>
      <c r="K7" s="17">
        <v>99.965202331542969</v>
      </c>
      <c r="L7" s="17">
        <v>99.8919677734375</v>
      </c>
      <c r="M7" s="17">
        <v>99.351829528808594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92.152107238769531</v>
      </c>
      <c r="C8" s="17">
        <v>93.881507873535156</v>
      </c>
      <c r="D8" s="17">
        <v>94.534034729003906</v>
      </c>
      <c r="E8" s="17">
        <v>96.526840209960938</v>
      </c>
      <c r="F8" s="17">
        <v>98.486190795898438</v>
      </c>
      <c r="G8" s="17">
        <v>96.326423645019531</v>
      </c>
      <c r="H8" s="17">
        <v>99.941360473632813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90.612037658691406</v>
      </c>
      <c r="C9" s="17">
        <v>93.913162231445313</v>
      </c>
      <c r="D9" s="17">
        <v>94.618705749511719</v>
      </c>
      <c r="E9" s="17">
        <v>96.666023254394531</v>
      </c>
      <c r="F9" s="17">
        <v>95.381340026855469</v>
      </c>
      <c r="G9" s="17">
        <v>99.112289428710938</v>
      </c>
      <c r="H9" s="17">
        <v>99.985107421875</v>
      </c>
      <c r="I9" s="17">
        <v>99.99884033203125</v>
      </c>
      <c r="J9" s="17">
        <v>98.015357971191406</v>
      </c>
      <c r="K9" s="17">
        <v>99.899642944335938</v>
      </c>
      <c r="L9" s="17">
        <v>99.951774597167969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79.808326721191406</v>
      </c>
      <c r="C10" s="17">
        <v>87.072944641113281</v>
      </c>
      <c r="D10" s="17">
        <v>62.150218963623047</v>
      </c>
      <c r="E10" s="17">
        <v>96.659347534179688</v>
      </c>
      <c r="F10" s="17">
        <v>96.901313781738281</v>
      </c>
      <c r="G10" s="17">
        <v>98.455284118652344</v>
      </c>
      <c r="H10" s="17">
        <v>99.999710083007813</v>
      </c>
      <c r="I10" s="17">
        <v>99.99884033203125</v>
      </c>
      <c r="J10" s="17">
        <v>90.207557678222656</v>
      </c>
      <c r="K10" s="17">
        <v>99.999954223632813</v>
      </c>
      <c r="L10" s="17">
        <v>99.999710083007813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78.919822692871094</v>
      </c>
      <c r="C11" s="17">
        <v>87.068572998046875</v>
      </c>
      <c r="D11" s="17">
        <v>62.667659759521484</v>
      </c>
      <c r="E11" s="17">
        <v>96.582267761230469</v>
      </c>
      <c r="F11" s="17">
        <v>63.616947174072266</v>
      </c>
      <c r="G11" s="17">
        <v>15.844393730163574</v>
      </c>
      <c r="H11" s="17">
        <v>34.388187408447266</v>
      </c>
      <c r="I11" s="17">
        <v>24.111724853515625</v>
      </c>
      <c r="J11" s="17">
        <v>62.636867523193359</v>
      </c>
      <c r="K11" s="17">
        <v>93.44366455078125</v>
      </c>
      <c r="L11" s="17">
        <v>84.276847839355469</v>
      </c>
      <c r="M11" s="17">
        <v>86.458076477050781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79.451484680175781</v>
      </c>
      <c r="C12" s="17">
        <v>79.2222900390625</v>
      </c>
      <c r="D12" s="17">
        <v>63.954109191894531</v>
      </c>
      <c r="E12" s="17">
        <v>95.968513488769531</v>
      </c>
      <c r="F12" s="17">
        <v>96.768867492675781</v>
      </c>
      <c r="G12" s="17">
        <v>98.286094665527344</v>
      </c>
      <c r="H12" s="17">
        <v>99.155235290527344</v>
      </c>
      <c r="I12" s="17">
        <v>99.5194091796875</v>
      </c>
      <c r="J12" s="17">
        <v>90.138725280761719</v>
      </c>
      <c r="K12" s="17">
        <v>99.999954223632813</v>
      </c>
      <c r="L12" s="17">
        <v>99.999710083007813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78.363937377929688</v>
      </c>
      <c r="C13" s="17">
        <v>86.128273010253906</v>
      </c>
      <c r="D13" s="17">
        <v>61.554397583007813</v>
      </c>
      <c r="E13" s="17">
        <v>95.254631042480469</v>
      </c>
      <c r="F13" s="17">
        <v>100</v>
      </c>
      <c r="G13" s="17">
        <v>99.999954223632813</v>
      </c>
      <c r="H13" s="17">
        <v>99.999710083007813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89.562728881835938</v>
      </c>
      <c r="C14" s="17">
        <v>91.144439697265625</v>
      </c>
      <c r="D14" s="17">
        <v>91.996139526367188</v>
      </c>
      <c r="E14" s="17">
        <v>95.629631042480469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43" priority="44" stopIfTrue="1" operator="containsText" text="fcd">
      <formula>NOT(ISERROR(SEARCH("fcd",A1)))</formula>
    </cfRule>
    <cfRule type="containsText" dxfId="542" priority="45" stopIfTrue="1" operator="containsText" text="server">
      <formula>NOT(ISERROR(SEARCH("server",A1)))</formula>
    </cfRule>
    <cfRule type="containsText" dxfId="541" priority="46" stopIfTrue="1" operator="containsText" text="ft">
      <formula>NOT(ISERROR(SEARCH("ft",A1)))</formula>
    </cfRule>
    <cfRule type="containsText" dxfId="540" priority="47" stopIfTrue="1" operator="containsText" text="lynxx_">
      <formula>NOT(ISERROR(SEARCH("lynxx_",A1)))</formula>
    </cfRule>
    <cfRule type="containsText" dxfId="53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38" priority="39" operator="equal">
      <formula>FALSE</formula>
    </cfRule>
  </conditionalFormatting>
  <conditionalFormatting sqref="T1:T3">
    <cfRule type="cellIs" dxfId="53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36" priority="36" operator="equal">
      <formula>FALSE</formula>
    </cfRule>
  </conditionalFormatting>
  <conditionalFormatting sqref="T4:T12">
    <cfRule type="cellIs" dxfId="53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34" priority="30" stopIfTrue="1" operator="containsText" text="fcd">
      <formula>NOT(ISERROR(SEARCH("fcd",A4)))</formula>
    </cfRule>
    <cfRule type="containsText" dxfId="533" priority="31" stopIfTrue="1" operator="containsText" text="server">
      <formula>NOT(ISERROR(SEARCH("server",A4)))</formula>
    </cfRule>
    <cfRule type="containsText" dxfId="532" priority="32" stopIfTrue="1" operator="containsText" text="ft">
      <formula>NOT(ISERROR(SEARCH("ft",A4)))</formula>
    </cfRule>
    <cfRule type="containsText" dxfId="531" priority="33" stopIfTrue="1" operator="containsText" text="lynxx_">
      <formula>NOT(ISERROR(SEARCH("lynxx_",A4)))</formula>
    </cfRule>
    <cfRule type="containsText" dxfId="53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529" priority="23" operator="equal">
      <formula>"N/A"</formula>
    </cfRule>
    <cfRule type="cellIs" dxfId="528" priority="24" operator="equal">
      <formula>"OK"</formula>
    </cfRule>
    <cfRule type="containsText" dxfId="527" priority="25" operator="containsText" text="Unsure">
      <formula>NOT(ISERROR(SEARCH("Unsure",J13)))</formula>
    </cfRule>
    <cfRule type="containsText" dxfId="526" priority="26" operator="containsText" text="Can't See">
      <formula>NOT(ISERROR(SEARCH("Can't See",J13)))</formula>
    </cfRule>
    <cfRule type="notContainsText" dxfId="52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524" priority="15" stopIfTrue="1" operator="containsText" text="fcd">
      <formula>NOT(ISERROR(SEARCH("fcd",A10)))</formula>
    </cfRule>
    <cfRule type="containsText" dxfId="523" priority="16" stopIfTrue="1" operator="containsText" text="server">
      <formula>NOT(ISERROR(SEARCH("server",A10)))</formula>
    </cfRule>
    <cfRule type="containsText" dxfId="522" priority="17" stopIfTrue="1" operator="containsText" text="ft">
      <formula>NOT(ISERROR(SEARCH("ft",A10)))</formula>
    </cfRule>
    <cfRule type="containsText" dxfId="521" priority="18" stopIfTrue="1" operator="containsText" text="lynxx_">
      <formula>NOT(ISERROR(SEARCH("lynxx_",A10)))</formula>
    </cfRule>
    <cfRule type="containsText" dxfId="52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19" priority="9" operator="equal">
      <formula>"N/A"</formula>
    </cfRule>
    <cfRule type="cellIs" dxfId="518" priority="10" operator="equal">
      <formula>"OK"</formula>
    </cfRule>
    <cfRule type="containsText" dxfId="517" priority="11" operator="containsText" text="Unsure">
      <formula>NOT(ISERROR(SEARCH("Unsure",J11)))</formula>
    </cfRule>
    <cfRule type="containsText" dxfId="516" priority="12" operator="containsText" text="Can't See">
      <formula>NOT(ISERROR(SEARCH("Can't See",J11)))</formula>
    </cfRule>
    <cfRule type="notContainsText" dxfId="51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14" priority="3" stopIfTrue="1" operator="containsText" text="fcd">
      <formula>NOT(ISERROR(SEARCH("fcd",A11)))</formula>
    </cfRule>
    <cfRule type="containsText" dxfId="513" priority="4" stopIfTrue="1" operator="containsText" text="server">
      <formula>NOT(ISERROR(SEARCH("server",A11)))</formula>
    </cfRule>
    <cfRule type="containsText" dxfId="512" priority="5" stopIfTrue="1" operator="containsText" text="ft">
      <formula>NOT(ISERROR(SEARCH("ft",A11)))</formula>
    </cfRule>
    <cfRule type="containsText" dxfId="511" priority="6" stopIfTrue="1" operator="containsText" text="lynxx_">
      <formula>NOT(ISERROR(SEARCH("lynxx_",A11)))</formula>
    </cfRule>
    <cfRule type="containsText" dxfId="51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1464-4607-413C-A560-752BF0A079A3}">
  <dimension ref="A1:T14"/>
  <sheetViews>
    <sheetView workbookViewId="0"/>
  </sheetViews>
  <sheetFormatPr defaultRowHeight="14.5" x14ac:dyDescent="0.35"/>
  <cols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92.029205322265625</v>
      </c>
      <c r="C4" s="17">
        <v>93.62261962890625</v>
      </c>
      <c r="D4" s="17">
        <v>93.653915405273438</v>
      </c>
      <c r="E4" s="17">
        <v>91.385749816894531</v>
      </c>
      <c r="F4" s="17">
        <v>95.687049865722656</v>
      </c>
      <c r="G4" s="17">
        <v>98.030784606933594</v>
      </c>
      <c r="H4" s="17">
        <v>98.910064697265625</v>
      </c>
      <c r="I4" s="17">
        <v>99.99884033203125</v>
      </c>
      <c r="J4" s="17">
        <v>100</v>
      </c>
      <c r="K4" s="17">
        <v>99.999961853027344</v>
      </c>
      <c r="L4" s="17">
        <v>99.999809265136719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92.095626831054688</v>
      </c>
      <c r="C5" s="17">
        <v>93.641983032226563</v>
      </c>
      <c r="D5" s="17">
        <v>93.67694091796875</v>
      </c>
      <c r="E5" s="17">
        <v>91.385917663574219</v>
      </c>
      <c r="F5" s="17">
        <v>88.023475646972656</v>
      </c>
      <c r="G5" s="17">
        <v>98.011917114257813</v>
      </c>
      <c r="H5" s="17">
        <v>98.179466247558594</v>
      </c>
      <c r="I5" s="17">
        <v>99.99884033203125</v>
      </c>
      <c r="J5" s="17">
        <v>100</v>
      </c>
      <c r="K5" s="17">
        <v>99.999961853027344</v>
      </c>
      <c r="L5" s="17">
        <v>99.999809265136719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92.181678771972656</v>
      </c>
      <c r="C6" s="17">
        <v>93.675529479980469</v>
      </c>
      <c r="D6" s="17">
        <v>93.74652099609375</v>
      </c>
      <c r="E6" s="17">
        <v>91.3857421875</v>
      </c>
      <c r="F6" s="17">
        <v>99.861122131347656</v>
      </c>
      <c r="G6" s="17">
        <v>99.118034362792969</v>
      </c>
      <c r="H6" s="17">
        <v>99.999809265136719</v>
      </c>
      <c r="I6" s="17">
        <v>99.99884033203125</v>
      </c>
      <c r="J6" s="17">
        <v>99.179092407226563</v>
      </c>
      <c r="K6" s="17">
        <v>99.989990234375</v>
      </c>
      <c r="L6" s="17">
        <v>99.999809265136719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92.096237182617188</v>
      </c>
      <c r="C7" s="17">
        <v>93.646278381347656</v>
      </c>
      <c r="D7" s="17">
        <v>93.583892822265625</v>
      </c>
      <c r="E7" s="17">
        <v>90.547630310058594</v>
      </c>
      <c r="F7" s="17">
        <v>98.925086975097656</v>
      </c>
      <c r="G7" s="17">
        <v>99.121780395507813</v>
      </c>
      <c r="H7" s="17">
        <v>99.999809265136719</v>
      </c>
      <c r="I7" s="17">
        <v>99.99884033203125</v>
      </c>
      <c r="J7" s="17">
        <v>99.533363342285156</v>
      </c>
      <c r="K7" s="17">
        <v>99.965202331542969</v>
      </c>
      <c r="L7" s="17">
        <v>99.8919677734375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92.124710083007813</v>
      </c>
      <c r="C8" s="17">
        <v>93.689781188964844</v>
      </c>
      <c r="D8" s="17">
        <v>93.560516357421875</v>
      </c>
      <c r="E8" s="17">
        <v>90.547653198242188</v>
      </c>
      <c r="F8" s="17">
        <v>98.489723205566406</v>
      </c>
      <c r="G8" s="17">
        <v>96.326423645019531</v>
      </c>
      <c r="H8" s="17">
        <v>99.941360473632813</v>
      </c>
      <c r="I8" s="17">
        <v>99.99884033203125</v>
      </c>
      <c r="J8" s="17">
        <v>99.810806274414063</v>
      </c>
      <c r="K8" s="17">
        <v>99.999961853027344</v>
      </c>
      <c r="L8" s="17">
        <v>99.999809265136719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90.584602355957031</v>
      </c>
      <c r="C9" s="17">
        <v>93.716941833496094</v>
      </c>
      <c r="D9" s="17">
        <v>93.626602172851563</v>
      </c>
      <c r="E9" s="17">
        <v>90.536338806152344</v>
      </c>
      <c r="F9" s="17">
        <v>95.387535095214844</v>
      </c>
      <c r="G9" s="17">
        <v>99.111236572265625</v>
      </c>
      <c r="H9" s="17">
        <v>99.979988098144531</v>
      </c>
      <c r="I9" s="17">
        <v>99.9681396484375</v>
      </c>
      <c r="J9" s="17">
        <v>98.01715087890625</v>
      </c>
      <c r="K9" s="17">
        <v>99.899383544921875</v>
      </c>
      <c r="L9" s="17">
        <v>99.926429748535156</v>
      </c>
      <c r="M9" s="17">
        <v>99.846755981445313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80.062263488769531</v>
      </c>
      <c r="C10" s="17">
        <v>86.775222778320313</v>
      </c>
      <c r="D10" s="17">
        <v>60.710311889648438</v>
      </c>
      <c r="E10" s="17">
        <v>87.609619140625</v>
      </c>
      <c r="F10" s="17">
        <v>96.911544799804688</v>
      </c>
      <c r="G10" s="17">
        <v>98.464210510253906</v>
      </c>
      <c r="H10" s="17">
        <v>99.999710083007813</v>
      </c>
      <c r="I10" s="17">
        <v>99.99884033203125</v>
      </c>
      <c r="J10" s="17">
        <v>90.535423278808594</v>
      </c>
      <c r="K10" s="17">
        <v>99.999954223632813</v>
      </c>
      <c r="L10" s="17">
        <v>99.999710083007813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78.885490417480469</v>
      </c>
      <c r="C11" s="17">
        <v>86.7965087890625</v>
      </c>
      <c r="D11" s="17">
        <v>61.397216796875</v>
      </c>
      <c r="E11" s="17">
        <v>88.156013488769531</v>
      </c>
      <c r="F11" s="17">
        <v>63.748058319091797</v>
      </c>
      <c r="G11" s="17">
        <v>17.3109130859375</v>
      </c>
      <c r="H11" s="17">
        <v>32.206554412841797</v>
      </c>
      <c r="I11" s="17">
        <v>39.595573425292969</v>
      </c>
      <c r="J11" s="17">
        <v>62.889553070068359</v>
      </c>
      <c r="K11" s="17">
        <v>92.594367980957031</v>
      </c>
      <c r="L11" s="17">
        <v>83.692779541015625</v>
      </c>
      <c r="M11" s="17">
        <v>77.068191528320313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79.707489013671875</v>
      </c>
      <c r="C12" s="17">
        <v>78.949073791503906</v>
      </c>
      <c r="D12" s="17">
        <v>62.633716583251953</v>
      </c>
      <c r="E12" s="17">
        <v>88.3216552734375</v>
      </c>
      <c r="F12" s="17">
        <v>96.778457641601563</v>
      </c>
      <c r="G12" s="17">
        <v>98.286483764648438</v>
      </c>
      <c r="H12" s="17">
        <v>99.250724792480469</v>
      </c>
      <c r="I12" s="17">
        <v>99.653915405273438</v>
      </c>
      <c r="J12" s="17">
        <v>90.468757629394531</v>
      </c>
      <c r="K12" s="17">
        <v>99.999954223632813</v>
      </c>
      <c r="L12" s="17">
        <v>99.999710083007813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78.316146850585938</v>
      </c>
      <c r="C13" s="17">
        <v>85.69256591796875</v>
      </c>
      <c r="D13" s="17">
        <v>59.538772583007813</v>
      </c>
      <c r="E13" s="17">
        <v>83.512733459472656</v>
      </c>
      <c r="F13" s="17">
        <v>100</v>
      </c>
      <c r="G13" s="17">
        <v>99.999954223632813</v>
      </c>
      <c r="H13" s="17">
        <v>99.999710083007813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89.526107788085938</v>
      </c>
      <c r="C14" s="17">
        <v>90.901542663574219</v>
      </c>
      <c r="D14" s="17">
        <v>90.842979431152344</v>
      </c>
      <c r="E14" s="17">
        <v>87.366897583007813</v>
      </c>
      <c r="F14" s="17">
        <v>100</v>
      </c>
      <c r="G14" s="17">
        <v>99.999961853027344</v>
      </c>
      <c r="H14" s="17">
        <v>99.999809265136719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509" priority="44" stopIfTrue="1" operator="containsText" text="fcd">
      <formula>NOT(ISERROR(SEARCH("fcd",A1)))</formula>
    </cfRule>
    <cfRule type="containsText" dxfId="508" priority="45" stopIfTrue="1" operator="containsText" text="server">
      <formula>NOT(ISERROR(SEARCH("server",A1)))</formula>
    </cfRule>
    <cfRule type="containsText" dxfId="507" priority="46" stopIfTrue="1" operator="containsText" text="ft">
      <formula>NOT(ISERROR(SEARCH("ft",A1)))</formula>
    </cfRule>
    <cfRule type="containsText" dxfId="506" priority="47" stopIfTrue="1" operator="containsText" text="lynxx_">
      <formula>NOT(ISERROR(SEARCH("lynxx_",A1)))</formula>
    </cfRule>
    <cfRule type="containsText" dxfId="505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504" priority="39" operator="equal">
      <formula>FALSE</formula>
    </cfRule>
  </conditionalFormatting>
  <conditionalFormatting sqref="T1:T3">
    <cfRule type="cellIs" dxfId="503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502" priority="36" operator="equal">
      <formula>FALSE</formula>
    </cfRule>
  </conditionalFormatting>
  <conditionalFormatting sqref="T4:T12">
    <cfRule type="cellIs" dxfId="501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500" priority="30" stopIfTrue="1" operator="containsText" text="fcd">
      <formula>NOT(ISERROR(SEARCH("fcd",A4)))</formula>
    </cfRule>
    <cfRule type="containsText" dxfId="499" priority="31" stopIfTrue="1" operator="containsText" text="server">
      <formula>NOT(ISERROR(SEARCH("server",A4)))</formula>
    </cfRule>
    <cfRule type="containsText" dxfId="498" priority="32" stopIfTrue="1" operator="containsText" text="ft">
      <formula>NOT(ISERROR(SEARCH("ft",A4)))</formula>
    </cfRule>
    <cfRule type="containsText" dxfId="497" priority="33" stopIfTrue="1" operator="containsText" text="lynxx_">
      <formula>NOT(ISERROR(SEARCH("lynxx_",A4)))</formula>
    </cfRule>
    <cfRule type="containsText" dxfId="49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95" priority="23" operator="equal">
      <formula>"N/A"</formula>
    </cfRule>
    <cfRule type="cellIs" dxfId="494" priority="24" operator="equal">
      <formula>"OK"</formula>
    </cfRule>
    <cfRule type="containsText" dxfId="493" priority="25" operator="containsText" text="Unsure">
      <formula>NOT(ISERROR(SEARCH("Unsure",J13)))</formula>
    </cfRule>
    <cfRule type="containsText" dxfId="492" priority="26" operator="containsText" text="Can't See">
      <formula>NOT(ISERROR(SEARCH("Can't See",J13)))</formula>
    </cfRule>
    <cfRule type="notContainsText" dxfId="49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90" priority="15" stopIfTrue="1" operator="containsText" text="fcd">
      <formula>NOT(ISERROR(SEARCH("fcd",A10)))</formula>
    </cfRule>
    <cfRule type="containsText" dxfId="489" priority="16" stopIfTrue="1" operator="containsText" text="server">
      <formula>NOT(ISERROR(SEARCH("server",A10)))</formula>
    </cfRule>
    <cfRule type="containsText" dxfId="488" priority="17" stopIfTrue="1" operator="containsText" text="ft">
      <formula>NOT(ISERROR(SEARCH("ft",A10)))</formula>
    </cfRule>
    <cfRule type="containsText" dxfId="487" priority="18" stopIfTrue="1" operator="containsText" text="lynxx_">
      <formula>NOT(ISERROR(SEARCH("lynxx_",A10)))</formula>
    </cfRule>
    <cfRule type="containsText" dxfId="48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85" priority="9" operator="equal">
      <formula>"N/A"</formula>
    </cfRule>
    <cfRule type="cellIs" dxfId="484" priority="10" operator="equal">
      <formula>"OK"</formula>
    </cfRule>
    <cfRule type="containsText" dxfId="483" priority="11" operator="containsText" text="Unsure">
      <formula>NOT(ISERROR(SEARCH("Unsure",J11)))</formula>
    </cfRule>
    <cfRule type="containsText" dxfId="482" priority="12" operator="containsText" text="Can't See">
      <formula>NOT(ISERROR(SEARCH("Can't See",J11)))</formula>
    </cfRule>
    <cfRule type="notContainsText" dxfId="48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80" priority="3" stopIfTrue="1" operator="containsText" text="fcd">
      <formula>NOT(ISERROR(SEARCH("fcd",A11)))</formula>
    </cfRule>
    <cfRule type="containsText" dxfId="479" priority="4" stopIfTrue="1" operator="containsText" text="server">
      <formula>NOT(ISERROR(SEARCH("server",A11)))</formula>
    </cfRule>
    <cfRule type="containsText" dxfId="478" priority="5" stopIfTrue="1" operator="containsText" text="ft">
      <formula>NOT(ISERROR(SEARCH("ft",A11)))</formula>
    </cfRule>
    <cfRule type="containsText" dxfId="477" priority="6" stopIfTrue="1" operator="containsText" text="lynxx_">
      <formula>NOT(ISERROR(SEARCH("lynxx_",A11)))</formula>
    </cfRule>
    <cfRule type="containsText" dxfId="47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3307-7096-4958-BBDA-9A01D0A8190B}">
  <dimension ref="A1:T14"/>
  <sheetViews>
    <sheetView workbookViewId="0"/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92.013076782226563</v>
      </c>
      <c r="C4" s="17">
        <v>93.555366516113281</v>
      </c>
      <c r="D4" s="17">
        <v>93.765449523925781</v>
      </c>
      <c r="E4" s="17">
        <v>94.434616088867188</v>
      </c>
      <c r="F4" s="17">
        <v>95.980308532714844</v>
      </c>
      <c r="G4" s="17">
        <v>98.030784606933594</v>
      </c>
      <c r="H4" s="17">
        <v>99.065773010253906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92.078269958496094</v>
      </c>
      <c r="C5" s="17">
        <v>93.565010070800781</v>
      </c>
      <c r="D5" s="17">
        <v>93.72503662109375</v>
      </c>
      <c r="E5" s="17">
        <v>94.013587951660156</v>
      </c>
      <c r="F5" s="17">
        <v>88.023475646972656</v>
      </c>
      <c r="G5" s="17">
        <v>98.011917114257813</v>
      </c>
      <c r="H5" s="17">
        <v>98.439544677734375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92.167976379394531</v>
      </c>
      <c r="C6" s="17">
        <v>93.641860961914063</v>
      </c>
      <c r="D6" s="17">
        <v>93.964546203613281</v>
      </c>
      <c r="E6" s="17">
        <v>95.272712707519531</v>
      </c>
      <c r="F6" s="17">
        <v>99.861122131347656</v>
      </c>
      <c r="G6" s="17">
        <v>99.118034362792969</v>
      </c>
      <c r="H6" s="17">
        <v>99.999832153320313</v>
      </c>
      <c r="I6" s="17">
        <v>99.99884033203125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92.082534790039063</v>
      </c>
      <c r="C7" s="17">
        <v>93.612716674804688</v>
      </c>
      <c r="D7" s="17">
        <v>93.825157165527344</v>
      </c>
      <c r="E7" s="17">
        <v>95.272720336914063</v>
      </c>
      <c r="F7" s="17">
        <v>98.925071716308594</v>
      </c>
      <c r="G7" s="17">
        <v>99.121612548828125</v>
      </c>
      <c r="H7" s="17">
        <v>99.999137878417969</v>
      </c>
      <c r="I7" s="17">
        <v>99.993972778320313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92.111007690429688</v>
      </c>
      <c r="C8" s="17">
        <v>93.65142822265625</v>
      </c>
      <c r="D8" s="17">
        <v>93.80511474609375</v>
      </c>
      <c r="E8" s="17">
        <v>95.272682189941406</v>
      </c>
      <c r="F8" s="17">
        <v>98.490371704101563</v>
      </c>
      <c r="G8" s="17">
        <v>96.334213256835938</v>
      </c>
      <c r="H8" s="17">
        <v>99.949737548828125</v>
      </c>
      <c r="I8" s="17">
        <v>99.99884033203125</v>
      </c>
      <c r="J8" s="17">
        <v>99.810806274414063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90.568077087402344</v>
      </c>
      <c r="C9" s="17">
        <v>93.640060424804688</v>
      </c>
      <c r="D9" s="17">
        <v>93.7225341796875</v>
      </c>
      <c r="E9" s="17">
        <v>94.298164367675781</v>
      </c>
      <c r="F9" s="17">
        <v>95.388961791992188</v>
      </c>
      <c r="G9" s="17">
        <v>99.111236572265625</v>
      </c>
      <c r="H9" s="17">
        <v>99.98284912109375</v>
      </c>
      <c r="I9" s="17">
        <v>99.99884033203125</v>
      </c>
      <c r="J9" s="17">
        <v>98.018074035644531</v>
      </c>
      <c r="K9" s="17">
        <v>99.899383544921875</v>
      </c>
      <c r="L9" s="17">
        <v>99.936943054199219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80.331901550292969</v>
      </c>
      <c r="C10" s="17">
        <v>86.66900634765625</v>
      </c>
      <c r="D10" s="17">
        <v>65.3265380859375</v>
      </c>
      <c r="E10" s="17">
        <v>93.023887634277344</v>
      </c>
      <c r="F10" s="17">
        <v>96.921699523925781</v>
      </c>
      <c r="G10" s="17">
        <v>98.475616455078125</v>
      </c>
      <c r="H10" s="17">
        <v>99.999771118164063</v>
      </c>
      <c r="I10" s="17">
        <v>99.99884033203125</v>
      </c>
      <c r="J10" s="17">
        <v>90.863296508789063</v>
      </c>
      <c r="K10" s="17">
        <v>99.999954223632813</v>
      </c>
      <c r="L10" s="17">
        <v>99.999771118164063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79.023155212402344</v>
      </c>
      <c r="C11" s="17">
        <v>86.628128051757813</v>
      </c>
      <c r="D11" s="17">
        <v>65.574928283691406</v>
      </c>
      <c r="E11" s="17">
        <v>90.641204833984375</v>
      </c>
      <c r="F11" s="17">
        <v>63.846851348876953</v>
      </c>
      <c r="G11" s="17">
        <v>18.41590690612793</v>
      </c>
      <c r="H11" s="17">
        <v>31.732219696044922</v>
      </c>
      <c r="I11" s="17">
        <v>29.834531784057617</v>
      </c>
      <c r="J11" s="17">
        <v>63.161872863769531</v>
      </c>
      <c r="K11" s="17">
        <v>91.966865539550781</v>
      </c>
      <c r="L11" s="17">
        <v>83.565673828125</v>
      </c>
      <c r="M11" s="17">
        <v>83.056289672851563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79.969413757324219</v>
      </c>
      <c r="C12" s="17">
        <v>78.750953674316406</v>
      </c>
      <c r="D12" s="17">
        <v>66.595344543457031</v>
      </c>
      <c r="E12" s="17">
        <v>90.3651123046875</v>
      </c>
      <c r="F12" s="17">
        <v>96.785659790039063</v>
      </c>
      <c r="G12" s="17">
        <v>98.259727478027344</v>
      </c>
      <c r="H12" s="17">
        <v>99.191238403320313</v>
      </c>
      <c r="I12" s="17">
        <v>98.952171325683594</v>
      </c>
      <c r="J12" s="17">
        <v>90.798789978027344</v>
      </c>
      <c r="K12" s="17">
        <v>99.999954223632813</v>
      </c>
      <c r="L12" s="17">
        <v>99.999771118164063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78.395156860351563</v>
      </c>
      <c r="C13" s="17">
        <v>85.124443054199219</v>
      </c>
      <c r="D13" s="17">
        <v>62.287696838378906</v>
      </c>
      <c r="E13" s="17">
        <v>78.78125</v>
      </c>
      <c r="F13" s="17">
        <v>100</v>
      </c>
      <c r="G13" s="17">
        <v>99.999954223632813</v>
      </c>
      <c r="H13" s="17">
        <v>99.999771118164063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89.477821350097656</v>
      </c>
      <c r="C14" s="17">
        <v>90.4957275390625</v>
      </c>
      <c r="D14" s="17">
        <v>89.66766357421875</v>
      </c>
      <c r="E14" s="17">
        <v>82.615737915039063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75" priority="44" stopIfTrue="1" operator="containsText" text="fcd">
      <formula>NOT(ISERROR(SEARCH("fcd",A1)))</formula>
    </cfRule>
    <cfRule type="containsText" dxfId="474" priority="45" stopIfTrue="1" operator="containsText" text="server">
      <formula>NOT(ISERROR(SEARCH("server",A1)))</formula>
    </cfRule>
    <cfRule type="containsText" dxfId="473" priority="46" stopIfTrue="1" operator="containsText" text="ft">
      <formula>NOT(ISERROR(SEARCH("ft",A1)))</formula>
    </cfRule>
    <cfRule type="containsText" dxfId="472" priority="47" stopIfTrue="1" operator="containsText" text="lynxx_">
      <formula>NOT(ISERROR(SEARCH("lynxx_",A1)))</formula>
    </cfRule>
    <cfRule type="containsText" dxfId="47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70" priority="39" operator="equal">
      <formula>FALSE</formula>
    </cfRule>
  </conditionalFormatting>
  <conditionalFormatting sqref="T1:T3">
    <cfRule type="cellIs" dxfId="46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68" priority="36" operator="equal">
      <formula>FALSE</formula>
    </cfRule>
  </conditionalFormatting>
  <conditionalFormatting sqref="T4:T12">
    <cfRule type="cellIs" dxfId="46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466" priority="30" stopIfTrue="1" operator="containsText" text="fcd">
      <formula>NOT(ISERROR(SEARCH("fcd",A4)))</formula>
    </cfRule>
    <cfRule type="containsText" dxfId="465" priority="31" stopIfTrue="1" operator="containsText" text="server">
      <formula>NOT(ISERROR(SEARCH("server",A4)))</formula>
    </cfRule>
    <cfRule type="containsText" dxfId="464" priority="32" stopIfTrue="1" operator="containsText" text="ft">
      <formula>NOT(ISERROR(SEARCH("ft",A4)))</formula>
    </cfRule>
    <cfRule type="containsText" dxfId="463" priority="33" stopIfTrue="1" operator="containsText" text="lynxx_">
      <formula>NOT(ISERROR(SEARCH("lynxx_",A4)))</formula>
    </cfRule>
    <cfRule type="containsText" dxfId="46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61" priority="23" operator="equal">
      <formula>"N/A"</formula>
    </cfRule>
    <cfRule type="cellIs" dxfId="460" priority="24" operator="equal">
      <formula>"OK"</formula>
    </cfRule>
    <cfRule type="containsText" dxfId="459" priority="25" operator="containsText" text="Unsure">
      <formula>NOT(ISERROR(SEARCH("Unsure",J13)))</formula>
    </cfRule>
    <cfRule type="containsText" dxfId="458" priority="26" operator="containsText" text="Can't See">
      <formula>NOT(ISERROR(SEARCH("Can't See",J13)))</formula>
    </cfRule>
    <cfRule type="notContainsText" dxfId="45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56" priority="15" stopIfTrue="1" operator="containsText" text="fcd">
      <formula>NOT(ISERROR(SEARCH("fcd",A10)))</formula>
    </cfRule>
    <cfRule type="containsText" dxfId="455" priority="16" stopIfTrue="1" operator="containsText" text="server">
      <formula>NOT(ISERROR(SEARCH("server",A10)))</formula>
    </cfRule>
    <cfRule type="containsText" dxfId="454" priority="17" stopIfTrue="1" operator="containsText" text="ft">
      <formula>NOT(ISERROR(SEARCH("ft",A10)))</formula>
    </cfRule>
    <cfRule type="containsText" dxfId="453" priority="18" stopIfTrue="1" operator="containsText" text="lynxx_">
      <formula>NOT(ISERROR(SEARCH("lynxx_",A10)))</formula>
    </cfRule>
    <cfRule type="containsText" dxfId="45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51" priority="9" operator="equal">
      <formula>"N/A"</formula>
    </cfRule>
    <cfRule type="cellIs" dxfId="450" priority="10" operator="equal">
      <formula>"OK"</formula>
    </cfRule>
    <cfRule type="containsText" dxfId="449" priority="11" operator="containsText" text="Unsure">
      <formula>NOT(ISERROR(SEARCH("Unsure",J11)))</formula>
    </cfRule>
    <cfRule type="containsText" dxfId="448" priority="12" operator="containsText" text="Can't See">
      <formula>NOT(ISERROR(SEARCH("Can't See",J11)))</formula>
    </cfRule>
    <cfRule type="notContainsText" dxfId="44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46" priority="3" stopIfTrue="1" operator="containsText" text="fcd">
      <formula>NOT(ISERROR(SEARCH("fcd",A11)))</formula>
    </cfRule>
    <cfRule type="containsText" dxfId="445" priority="4" stopIfTrue="1" operator="containsText" text="server">
      <formula>NOT(ISERROR(SEARCH("server",A11)))</formula>
    </cfRule>
    <cfRule type="containsText" dxfId="444" priority="5" stopIfTrue="1" operator="containsText" text="ft">
      <formula>NOT(ISERROR(SEARCH("ft",A11)))</formula>
    </cfRule>
    <cfRule type="containsText" dxfId="443" priority="6" stopIfTrue="1" operator="containsText" text="lynxx_">
      <formula>NOT(ISERROR(SEARCH("lynxx_",A11)))</formula>
    </cfRule>
    <cfRule type="containsText" dxfId="44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22622-0F62-48EF-A4E4-53E23DA3275F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0.75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92.013076782226563</v>
      </c>
      <c r="C4" s="17">
        <v>93.555366516113281</v>
      </c>
      <c r="D4" s="17">
        <v>93.765449523925781</v>
      </c>
      <c r="E4" s="17">
        <v>94.434616088867188</v>
      </c>
      <c r="F4" s="17">
        <v>95.980308532714844</v>
      </c>
      <c r="G4" s="17">
        <v>98.030784606933594</v>
      </c>
      <c r="H4" s="17">
        <v>99.065773010253906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92.078269958496094</v>
      </c>
      <c r="C5" s="17">
        <v>93.565010070800781</v>
      </c>
      <c r="D5" s="17">
        <v>93.72503662109375</v>
      </c>
      <c r="E5" s="17">
        <v>94.013587951660156</v>
      </c>
      <c r="F5" s="17">
        <v>88.023475646972656</v>
      </c>
      <c r="G5" s="17">
        <v>98.011917114257813</v>
      </c>
      <c r="H5" s="17">
        <v>98.439544677734375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92.167976379394531</v>
      </c>
      <c r="C6" s="17">
        <v>93.641860961914063</v>
      </c>
      <c r="D6" s="17">
        <v>93.964546203613281</v>
      </c>
      <c r="E6" s="17">
        <v>95.272712707519531</v>
      </c>
      <c r="F6" s="17">
        <v>99.861122131347656</v>
      </c>
      <c r="G6" s="17">
        <v>99.118034362792969</v>
      </c>
      <c r="H6" s="17">
        <v>99.999832153320313</v>
      </c>
      <c r="I6" s="17">
        <v>99.99884033203125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92.082534790039063</v>
      </c>
      <c r="C7" s="17">
        <v>93.612716674804688</v>
      </c>
      <c r="D7" s="17">
        <v>93.825157165527344</v>
      </c>
      <c r="E7" s="17">
        <v>95.272720336914063</v>
      </c>
      <c r="F7" s="17">
        <v>98.925071716308594</v>
      </c>
      <c r="G7" s="17">
        <v>99.121612548828125</v>
      </c>
      <c r="H7" s="17">
        <v>99.999137878417969</v>
      </c>
      <c r="I7" s="17">
        <v>99.993972778320313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92.111007690429688</v>
      </c>
      <c r="C8" s="17">
        <v>93.65142822265625</v>
      </c>
      <c r="D8" s="17">
        <v>93.80511474609375</v>
      </c>
      <c r="E8" s="17">
        <v>95.272682189941406</v>
      </c>
      <c r="F8" s="17">
        <v>98.490371704101563</v>
      </c>
      <c r="G8" s="17">
        <v>96.334213256835938</v>
      </c>
      <c r="H8" s="17">
        <v>99.949737548828125</v>
      </c>
      <c r="I8" s="17">
        <v>99.99884033203125</v>
      </c>
      <c r="J8" s="17">
        <v>99.810806274414063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90.568077087402344</v>
      </c>
      <c r="C9" s="17">
        <v>93.640060424804688</v>
      </c>
      <c r="D9" s="17">
        <v>93.7225341796875</v>
      </c>
      <c r="E9" s="17">
        <v>94.298164367675781</v>
      </c>
      <c r="F9" s="17">
        <v>95.388961791992188</v>
      </c>
      <c r="G9" s="17">
        <v>99.111236572265625</v>
      </c>
      <c r="H9" s="17">
        <v>99.98284912109375</v>
      </c>
      <c r="I9" s="17">
        <v>99.99884033203125</v>
      </c>
      <c r="J9" s="17">
        <v>98.018074035644531</v>
      </c>
      <c r="K9" s="17">
        <v>99.899383544921875</v>
      </c>
      <c r="L9" s="17">
        <v>99.936943054199219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80.331901550292969</v>
      </c>
      <c r="C10" s="17">
        <v>86.66900634765625</v>
      </c>
      <c r="D10" s="17">
        <v>65.3265380859375</v>
      </c>
      <c r="E10" s="17">
        <v>93.023887634277344</v>
      </c>
      <c r="F10" s="17">
        <v>96.921699523925781</v>
      </c>
      <c r="G10" s="17">
        <v>98.475616455078125</v>
      </c>
      <c r="H10" s="17">
        <v>99.999771118164063</v>
      </c>
      <c r="I10" s="17">
        <v>99.99884033203125</v>
      </c>
      <c r="J10" s="17">
        <v>90.863296508789063</v>
      </c>
      <c r="K10" s="17">
        <v>99.999954223632813</v>
      </c>
      <c r="L10" s="17">
        <v>99.999771118164063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0</v>
      </c>
      <c r="T10" s="6" t="b">
        <f t="shared" si="0"/>
        <v>1</v>
      </c>
    </row>
    <row r="11" spans="1:20" x14ac:dyDescent="0.35">
      <c r="A11" s="16" t="s">
        <v>27</v>
      </c>
      <c r="B11" s="17">
        <v>79.023155212402344</v>
      </c>
      <c r="C11" s="17">
        <v>86.628128051757813</v>
      </c>
      <c r="D11" s="17">
        <v>65.574928283691406</v>
      </c>
      <c r="E11" s="17">
        <v>90.641204833984375</v>
      </c>
      <c r="F11" s="17">
        <v>63.846851348876953</v>
      </c>
      <c r="G11" s="17">
        <v>18.41590690612793</v>
      </c>
      <c r="H11" s="17">
        <v>31.732219696044922</v>
      </c>
      <c r="I11" s="17">
        <v>29.834531784057617</v>
      </c>
      <c r="J11" s="17">
        <v>63.161872863769531</v>
      </c>
      <c r="K11" s="17">
        <v>91.966865539550781</v>
      </c>
      <c r="L11" s="17">
        <v>83.565673828125</v>
      </c>
      <c r="M11" s="17">
        <v>83.056289672851563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79.969413757324219</v>
      </c>
      <c r="C12" s="17">
        <v>78.750953674316406</v>
      </c>
      <c r="D12" s="17">
        <v>66.595344543457031</v>
      </c>
      <c r="E12" s="17">
        <v>90.3651123046875</v>
      </c>
      <c r="F12" s="17">
        <v>96.785659790039063</v>
      </c>
      <c r="G12" s="17">
        <v>98.259727478027344</v>
      </c>
      <c r="H12" s="17">
        <v>99.191238403320313</v>
      </c>
      <c r="I12" s="17">
        <v>98.952171325683594</v>
      </c>
      <c r="J12" s="17">
        <v>90.798789978027344</v>
      </c>
      <c r="K12" s="17">
        <v>99.999954223632813</v>
      </c>
      <c r="L12" s="17">
        <v>99.999771118164063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0</v>
      </c>
      <c r="T12" s="6" t="b">
        <f t="shared" si="0"/>
        <v>1</v>
      </c>
    </row>
    <row r="13" spans="1:20" x14ac:dyDescent="0.35">
      <c r="A13" s="16" t="s">
        <v>32</v>
      </c>
      <c r="B13" s="17">
        <v>78.395156860351563</v>
      </c>
      <c r="C13" s="17">
        <v>85.124443054199219</v>
      </c>
      <c r="D13" s="17">
        <v>62.287696838378906</v>
      </c>
      <c r="E13" s="17">
        <v>78.78125</v>
      </c>
      <c r="F13" s="17">
        <v>100</v>
      </c>
      <c r="G13" s="17">
        <v>99.999954223632813</v>
      </c>
      <c r="H13" s="17">
        <v>99.999771118164063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89.477821350097656</v>
      </c>
      <c r="C14" s="17">
        <v>90.4957275390625</v>
      </c>
      <c r="D14" s="17">
        <v>89.66766357421875</v>
      </c>
      <c r="E14" s="17">
        <v>82.615737915039063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41" priority="44" stopIfTrue="1" operator="containsText" text="fcd">
      <formula>NOT(ISERROR(SEARCH("fcd",A1)))</formula>
    </cfRule>
    <cfRule type="containsText" dxfId="440" priority="45" stopIfTrue="1" operator="containsText" text="server">
      <formula>NOT(ISERROR(SEARCH("server",A1)))</formula>
    </cfRule>
    <cfRule type="containsText" dxfId="439" priority="46" stopIfTrue="1" operator="containsText" text="ft">
      <formula>NOT(ISERROR(SEARCH("ft",A1)))</formula>
    </cfRule>
    <cfRule type="containsText" dxfId="438" priority="47" stopIfTrue="1" operator="containsText" text="lynxx_">
      <formula>NOT(ISERROR(SEARCH("lynxx_",A1)))</formula>
    </cfRule>
    <cfRule type="containsText" dxfId="43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36" priority="39" operator="equal">
      <formula>FALSE</formula>
    </cfRule>
  </conditionalFormatting>
  <conditionalFormatting sqref="T1:T3">
    <cfRule type="cellIs" dxfId="43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34" priority="36" operator="equal">
      <formula>FALSE</formula>
    </cfRule>
  </conditionalFormatting>
  <conditionalFormatting sqref="T4:T12">
    <cfRule type="cellIs" dxfId="43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432" priority="30" stopIfTrue="1" operator="containsText" text="fcd">
      <formula>NOT(ISERROR(SEARCH("fcd",A4)))</formula>
    </cfRule>
    <cfRule type="containsText" dxfId="431" priority="31" stopIfTrue="1" operator="containsText" text="server">
      <formula>NOT(ISERROR(SEARCH("server",A4)))</formula>
    </cfRule>
    <cfRule type="containsText" dxfId="430" priority="32" stopIfTrue="1" operator="containsText" text="ft">
      <formula>NOT(ISERROR(SEARCH("ft",A4)))</formula>
    </cfRule>
    <cfRule type="containsText" dxfId="429" priority="33" stopIfTrue="1" operator="containsText" text="lynxx_">
      <formula>NOT(ISERROR(SEARCH("lynxx_",A4)))</formula>
    </cfRule>
    <cfRule type="containsText" dxfId="42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27" priority="23" operator="equal">
      <formula>"N/A"</formula>
    </cfRule>
    <cfRule type="cellIs" dxfId="426" priority="24" operator="equal">
      <formula>"OK"</formula>
    </cfRule>
    <cfRule type="containsText" dxfId="425" priority="25" operator="containsText" text="Unsure">
      <formula>NOT(ISERROR(SEARCH("Unsure",J13)))</formula>
    </cfRule>
    <cfRule type="containsText" dxfId="424" priority="26" operator="containsText" text="Can't See">
      <formula>NOT(ISERROR(SEARCH("Can't See",J13)))</formula>
    </cfRule>
    <cfRule type="notContainsText" dxfId="42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422" priority="15" stopIfTrue="1" operator="containsText" text="fcd">
      <formula>NOT(ISERROR(SEARCH("fcd",A10)))</formula>
    </cfRule>
    <cfRule type="containsText" dxfId="421" priority="16" stopIfTrue="1" operator="containsText" text="server">
      <formula>NOT(ISERROR(SEARCH("server",A10)))</formula>
    </cfRule>
    <cfRule type="containsText" dxfId="420" priority="17" stopIfTrue="1" operator="containsText" text="ft">
      <formula>NOT(ISERROR(SEARCH("ft",A10)))</formula>
    </cfRule>
    <cfRule type="containsText" dxfId="419" priority="18" stopIfTrue="1" operator="containsText" text="lynxx_">
      <formula>NOT(ISERROR(SEARCH("lynxx_",A10)))</formula>
    </cfRule>
    <cfRule type="containsText" dxfId="41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417" priority="9" operator="equal">
      <formula>"N/A"</formula>
    </cfRule>
    <cfRule type="cellIs" dxfId="416" priority="10" operator="equal">
      <formula>"OK"</formula>
    </cfRule>
    <cfRule type="containsText" dxfId="415" priority="11" operator="containsText" text="Unsure">
      <formula>NOT(ISERROR(SEARCH("Unsure",J11)))</formula>
    </cfRule>
    <cfRule type="containsText" dxfId="414" priority="12" operator="containsText" text="Can't See">
      <formula>NOT(ISERROR(SEARCH("Can't See",J11)))</formula>
    </cfRule>
    <cfRule type="notContainsText" dxfId="41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12" priority="3" stopIfTrue="1" operator="containsText" text="fcd">
      <formula>NOT(ISERROR(SEARCH("fcd",A11)))</formula>
    </cfRule>
    <cfRule type="containsText" dxfId="411" priority="4" stopIfTrue="1" operator="containsText" text="server">
      <formula>NOT(ISERROR(SEARCH("server",A11)))</formula>
    </cfRule>
    <cfRule type="containsText" dxfId="410" priority="5" stopIfTrue="1" operator="containsText" text="ft">
      <formula>NOT(ISERROR(SEARCH("ft",A11)))</formula>
    </cfRule>
    <cfRule type="containsText" dxfId="409" priority="6" stopIfTrue="1" operator="containsText" text="lynxx_">
      <formula>NOT(ISERROR(SEARCH("lynxx_",A11)))</formula>
    </cfRule>
    <cfRule type="containsText" dxfId="40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039D-0A1A-48A1-90DA-993363C0D6F3}">
  <dimension ref="A1:T14"/>
  <sheetViews>
    <sheetView workbookViewId="0"/>
  </sheetViews>
  <sheetFormatPr defaultRowHeight="14.5" x14ac:dyDescent="0.35"/>
  <cols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92.234771728515625</v>
      </c>
      <c r="C4" s="17">
        <v>93.517112731933594</v>
      </c>
      <c r="D4" s="17">
        <v>95.155342102050781</v>
      </c>
      <c r="E4" s="17">
        <v>95.552993774414063</v>
      </c>
      <c r="F4" s="17">
        <v>96.151679992675781</v>
      </c>
      <c r="G4" s="17">
        <v>98.030616760253906</v>
      </c>
      <c r="H4" s="17">
        <v>99.065078735351563</v>
      </c>
      <c r="I4" s="17">
        <v>99.993995666503906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92.271125793457031</v>
      </c>
      <c r="C5" s="17">
        <v>93.5172119140625</v>
      </c>
      <c r="D5" s="17">
        <v>95.095352172851563</v>
      </c>
      <c r="E5" s="17">
        <v>95.553565979003906</v>
      </c>
      <c r="F5" s="17">
        <v>88.023475646972656</v>
      </c>
      <c r="G5" s="17">
        <v>98.011917114257813</v>
      </c>
      <c r="H5" s="17">
        <v>98.440322875976563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92.263442993164063</v>
      </c>
      <c r="C6" s="17">
        <v>93.579658508300781</v>
      </c>
      <c r="D6" s="17">
        <v>95.255523681640625</v>
      </c>
      <c r="E6" s="17">
        <v>95.138374328613281</v>
      </c>
      <c r="F6" s="17">
        <v>99.861038208007813</v>
      </c>
      <c r="G6" s="17">
        <v>99.117027282714844</v>
      </c>
      <c r="H6" s="17">
        <v>99.995658874511719</v>
      </c>
      <c r="I6" s="17">
        <v>99.969635009765625</v>
      </c>
      <c r="J6" s="17">
        <v>99.179092407226563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92.275382995605469</v>
      </c>
      <c r="C7" s="17">
        <v>93.569671630859375</v>
      </c>
      <c r="D7" s="17">
        <v>95.194869995117188</v>
      </c>
      <c r="E7" s="17">
        <v>95.553001403808594</v>
      </c>
      <c r="F7" s="17">
        <v>98.925071716308594</v>
      </c>
      <c r="G7" s="17">
        <v>99.121612548828125</v>
      </c>
      <c r="H7" s="17">
        <v>99.999137878417969</v>
      </c>
      <c r="I7" s="17">
        <v>99.99884033203125</v>
      </c>
      <c r="J7" s="17">
        <v>99.533363342285156</v>
      </c>
      <c r="K7" s="17">
        <v>99.965202331542969</v>
      </c>
      <c r="L7" s="17">
        <v>99.907402038574219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92.303878784179688</v>
      </c>
      <c r="C8" s="17">
        <v>93.603591918945313</v>
      </c>
      <c r="D8" s="17">
        <v>95.175163269042969</v>
      </c>
      <c r="E8" s="17">
        <v>95.552970886230469</v>
      </c>
      <c r="F8" s="17">
        <v>98.489051818847656</v>
      </c>
      <c r="G8" s="17">
        <v>96.318649291992188</v>
      </c>
      <c r="H8" s="17">
        <v>99.885261535644531</v>
      </c>
      <c r="I8" s="17">
        <v>99.99884033203125</v>
      </c>
      <c r="J8" s="17">
        <v>99.815505981445313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90.664337158203125</v>
      </c>
      <c r="C9" s="17">
        <v>93.587417602539063</v>
      </c>
      <c r="D9" s="17">
        <v>95.0152587890625</v>
      </c>
      <c r="E9" s="17">
        <v>95.276809692382813</v>
      </c>
      <c r="F9" s="17">
        <v>95.389457702636719</v>
      </c>
      <c r="G9" s="17">
        <v>99.111236572265625</v>
      </c>
      <c r="H9" s="17">
        <v>99.987907409667969</v>
      </c>
      <c r="I9" s="17">
        <v>99.99884033203125</v>
      </c>
      <c r="J9" s="17">
        <v>98.019912719726563</v>
      </c>
      <c r="K9" s="17">
        <v>99.901870727539063</v>
      </c>
      <c r="L9" s="17">
        <v>99.947227478027344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80.885406494140625</v>
      </c>
      <c r="C10" s="17">
        <v>86.621101379394531</v>
      </c>
      <c r="D10" s="17">
        <v>92.606315612792969</v>
      </c>
      <c r="E10" s="17">
        <v>95.413841247558594</v>
      </c>
      <c r="F10" s="17">
        <v>96.941665649414063</v>
      </c>
      <c r="G10" s="17">
        <v>98.473869323730469</v>
      </c>
      <c r="H10" s="17">
        <v>99.993095397949219</v>
      </c>
      <c r="I10" s="17">
        <v>99.99884033203125</v>
      </c>
      <c r="J10" s="17">
        <v>90.922821044921875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79.574577331542969</v>
      </c>
      <c r="C11" s="17">
        <v>86.560760498046875</v>
      </c>
      <c r="D11" s="17">
        <v>92.751922607421875</v>
      </c>
      <c r="E11" s="17">
        <v>95.13043212890625</v>
      </c>
      <c r="F11" s="17">
        <v>63.652706146240234</v>
      </c>
      <c r="G11" s="17">
        <v>20.959369659423828</v>
      </c>
      <c r="H11" s="17">
        <v>32.476371765136719</v>
      </c>
      <c r="I11" s="17">
        <v>38.854438781738281</v>
      </c>
      <c r="J11" s="17">
        <v>63.380516052246094</v>
      </c>
      <c r="K11" s="17">
        <v>91.724151611328125</v>
      </c>
      <c r="L11" s="17">
        <v>87.325027465820313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80.52294921875</v>
      </c>
      <c r="C12" s="17">
        <v>78.703041076660156</v>
      </c>
      <c r="D12" s="17">
        <v>93.876594543457031</v>
      </c>
      <c r="E12" s="17">
        <v>95.413825988769531</v>
      </c>
      <c r="F12" s="17">
        <v>96.800308227539063</v>
      </c>
      <c r="G12" s="17">
        <v>98.196151733398438</v>
      </c>
      <c r="H12" s="17">
        <v>99.1400146484375</v>
      </c>
      <c r="I12" s="17">
        <v>98.815437316894531</v>
      </c>
      <c r="J12" s="17">
        <v>90.859123229980469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78.94598388671875</v>
      </c>
      <c r="C13" s="17">
        <v>85.104164123535156</v>
      </c>
      <c r="D13" s="17">
        <v>89.435516357421875</v>
      </c>
      <c r="E13" s="17">
        <v>94.758102416992188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89.738517761230469</v>
      </c>
      <c r="C14" s="17">
        <v>90.370132446289063</v>
      </c>
      <c r="D14" s="17">
        <v>91.319778442382813</v>
      </c>
      <c r="E14" s="17">
        <v>93.074073791503906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407" priority="44" stopIfTrue="1" operator="containsText" text="fcd">
      <formula>NOT(ISERROR(SEARCH("fcd",A1)))</formula>
    </cfRule>
    <cfRule type="containsText" dxfId="406" priority="45" stopIfTrue="1" operator="containsText" text="server">
      <formula>NOT(ISERROR(SEARCH("server",A1)))</formula>
    </cfRule>
    <cfRule type="containsText" dxfId="405" priority="46" stopIfTrue="1" operator="containsText" text="ft">
      <formula>NOT(ISERROR(SEARCH("ft",A1)))</formula>
    </cfRule>
    <cfRule type="containsText" dxfId="404" priority="47" stopIfTrue="1" operator="containsText" text="lynxx_">
      <formula>NOT(ISERROR(SEARCH("lynxx_",A1)))</formula>
    </cfRule>
    <cfRule type="containsText" dxfId="40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402" priority="39" operator="equal">
      <formula>FALSE</formula>
    </cfRule>
  </conditionalFormatting>
  <conditionalFormatting sqref="T1:T3">
    <cfRule type="cellIs" dxfId="40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400" priority="36" operator="equal">
      <formula>FALSE</formula>
    </cfRule>
  </conditionalFormatting>
  <conditionalFormatting sqref="T4:T12">
    <cfRule type="cellIs" dxfId="39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98" priority="30" stopIfTrue="1" operator="containsText" text="fcd">
      <formula>NOT(ISERROR(SEARCH("fcd",A4)))</formula>
    </cfRule>
    <cfRule type="containsText" dxfId="397" priority="31" stopIfTrue="1" operator="containsText" text="server">
      <formula>NOT(ISERROR(SEARCH("server",A4)))</formula>
    </cfRule>
    <cfRule type="containsText" dxfId="396" priority="32" stopIfTrue="1" operator="containsText" text="ft">
      <formula>NOT(ISERROR(SEARCH("ft",A4)))</formula>
    </cfRule>
    <cfRule type="containsText" dxfId="395" priority="33" stopIfTrue="1" operator="containsText" text="lynxx_">
      <formula>NOT(ISERROR(SEARCH("lynxx_",A4)))</formula>
    </cfRule>
    <cfRule type="containsText" dxfId="39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93" priority="23" operator="equal">
      <formula>"N/A"</formula>
    </cfRule>
    <cfRule type="cellIs" dxfId="392" priority="24" operator="equal">
      <formula>"OK"</formula>
    </cfRule>
    <cfRule type="containsText" dxfId="391" priority="25" operator="containsText" text="Unsure">
      <formula>NOT(ISERROR(SEARCH("Unsure",J13)))</formula>
    </cfRule>
    <cfRule type="containsText" dxfId="390" priority="26" operator="containsText" text="Can't See">
      <formula>NOT(ISERROR(SEARCH("Can't See",J13)))</formula>
    </cfRule>
    <cfRule type="notContainsText" dxfId="38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88" priority="15" stopIfTrue="1" operator="containsText" text="fcd">
      <formula>NOT(ISERROR(SEARCH("fcd",A10)))</formula>
    </cfRule>
    <cfRule type="containsText" dxfId="387" priority="16" stopIfTrue="1" operator="containsText" text="server">
      <formula>NOT(ISERROR(SEARCH("server",A10)))</formula>
    </cfRule>
    <cfRule type="containsText" dxfId="386" priority="17" stopIfTrue="1" operator="containsText" text="ft">
      <formula>NOT(ISERROR(SEARCH("ft",A10)))</formula>
    </cfRule>
    <cfRule type="containsText" dxfId="385" priority="18" stopIfTrue="1" operator="containsText" text="lynxx_">
      <formula>NOT(ISERROR(SEARCH("lynxx_",A10)))</formula>
    </cfRule>
    <cfRule type="containsText" dxfId="38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83" priority="9" operator="equal">
      <formula>"N/A"</formula>
    </cfRule>
    <cfRule type="cellIs" dxfId="382" priority="10" operator="equal">
      <formula>"OK"</formula>
    </cfRule>
    <cfRule type="containsText" dxfId="381" priority="11" operator="containsText" text="Unsure">
      <formula>NOT(ISERROR(SEARCH("Unsure",J11)))</formula>
    </cfRule>
    <cfRule type="containsText" dxfId="380" priority="12" operator="containsText" text="Can't See">
      <formula>NOT(ISERROR(SEARCH("Can't See",J11)))</formula>
    </cfRule>
    <cfRule type="notContainsText" dxfId="37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78" priority="3" stopIfTrue="1" operator="containsText" text="fcd">
      <formula>NOT(ISERROR(SEARCH("fcd",A11)))</formula>
    </cfRule>
    <cfRule type="containsText" dxfId="377" priority="4" stopIfTrue="1" operator="containsText" text="server">
      <formula>NOT(ISERROR(SEARCH("server",A11)))</formula>
    </cfRule>
    <cfRule type="containsText" dxfId="376" priority="5" stopIfTrue="1" operator="containsText" text="ft">
      <formula>NOT(ISERROR(SEARCH("ft",A11)))</formula>
    </cfRule>
    <cfRule type="containsText" dxfId="375" priority="6" stopIfTrue="1" operator="containsText" text="lynxx_">
      <formula>NOT(ISERROR(SEARCH("lynxx_",A11)))</formula>
    </cfRule>
    <cfRule type="containsText" dxfId="37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C0172-3316-4C99-98F8-ECAEA702C8B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92.202972412109375</v>
      </c>
      <c r="C4" s="17">
        <v>93.402168273925781</v>
      </c>
      <c r="D4" s="17">
        <v>94.540351867675781</v>
      </c>
      <c r="E4" s="17">
        <v>95.552665710449219</v>
      </c>
      <c r="F4" s="17">
        <v>96.144630432128906</v>
      </c>
      <c r="G4" s="17">
        <v>98.1976318359375</v>
      </c>
      <c r="H4" s="17">
        <v>99.655723571777344</v>
      </c>
      <c r="I4" s="17">
        <v>97.594947814941406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92.24053955078125</v>
      </c>
      <c r="C5" s="17">
        <v>93.407112121582031</v>
      </c>
      <c r="D5" s="17">
        <v>94.520286560058594</v>
      </c>
      <c r="E5" s="17">
        <v>95.553077697753906</v>
      </c>
      <c r="F5" s="17">
        <v>88.01611328125</v>
      </c>
      <c r="G5" s="17">
        <v>98.221664428710938</v>
      </c>
      <c r="H5" s="17">
        <v>99.641075134277344</v>
      </c>
      <c r="I5" s="17">
        <v>97.594947814941406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92.240509033203125</v>
      </c>
      <c r="C6" s="17">
        <v>93.459724426269531</v>
      </c>
      <c r="D6" s="17">
        <v>94.659515380859375</v>
      </c>
      <c r="E6" s="17">
        <v>95.136344909667969</v>
      </c>
      <c r="F6" s="17">
        <v>99.853958129882813</v>
      </c>
      <c r="G6" s="17">
        <v>99.033775329589844</v>
      </c>
      <c r="H6" s="17">
        <v>99.650741577148438</v>
      </c>
      <c r="I6" s="17">
        <v>97.584426879882813</v>
      </c>
      <c r="J6" s="17">
        <v>99.193763732910156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92.243583679199219</v>
      </c>
      <c r="C7" s="17">
        <v>93.425987243652344</v>
      </c>
      <c r="D7" s="17">
        <v>94.5205078125</v>
      </c>
      <c r="E7" s="17">
        <v>95.413749694824219</v>
      </c>
      <c r="F7" s="17">
        <v>98.918014526367188</v>
      </c>
      <c r="G7" s="17">
        <v>99.038597106933594</v>
      </c>
      <c r="H7" s="17">
        <v>99.655220031738281</v>
      </c>
      <c r="I7" s="17">
        <v>97.591461181640625</v>
      </c>
      <c r="J7" s="17">
        <v>99.533363342285156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92.270477294921875</v>
      </c>
      <c r="C8" s="17">
        <v>93.445533752441406</v>
      </c>
      <c r="D8" s="17">
        <v>94.480796813964844</v>
      </c>
      <c r="E8" s="17">
        <v>95.552635192871094</v>
      </c>
      <c r="F8" s="17">
        <v>98.474006652832031</v>
      </c>
      <c r="G8" s="17">
        <v>96.1417236328125</v>
      </c>
      <c r="H8" s="17">
        <v>99.202377319335938</v>
      </c>
      <c r="I8" s="17">
        <v>97.594947814941406</v>
      </c>
      <c r="J8" s="17">
        <v>99.850761413574219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90.642623901367188</v>
      </c>
      <c r="C9" s="17">
        <v>93.482048034667969</v>
      </c>
      <c r="D9" s="17">
        <v>94.479728698730469</v>
      </c>
      <c r="E9" s="17">
        <v>95.276176452636719</v>
      </c>
      <c r="F9" s="17">
        <v>95.382293701171875</v>
      </c>
      <c r="G9" s="17">
        <v>99.027488708496094</v>
      </c>
      <c r="H9" s="17">
        <v>99.648490905761719</v>
      </c>
      <c r="I9" s="17">
        <v>97.57745361328125</v>
      </c>
      <c r="J9" s="17">
        <v>98.022003173828125</v>
      </c>
      <c r="K9" s="17">
        <v>99.899307250976563</v>
      </c>
      <c r="L9" s="17">
        <v>99.936531066894531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81.713050842285156</v>
      </c>
      <c r="C10" s="17">
        <v>86.515571594238281</v>
      </c>
      <c r="D10" s="17">
        <v>93.875572204589844</v>
      </c>
      <c r="E10" s="17">
        <v>95.548568725585938</v>
      </c>
      <c r="F10" s="17">
        <v>96.964179992675781</v>
      </c>
      <c r="G10" s="17">
        <v>98.398185729980469</v>
      </c>
      <c r="H10" s="17">
        <v>99.67596435546875</v>
      </c>
      <c r="I10" s="17">
        <v>97.778938293457031</v>
      </c>
      <c r="J10" s="17">
        <v>91.010658264160156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80.401725769042969</v>
      </c>
      <c r="C11" s="17">
        <v>86.479949951171875</v>
      </c>
      <c r="D11" s="17">
        <v>93.486297607421875</v>
      </c>
      <c r="E11" s="17">
        <v>95.125747680664063</v>
      </c>
      <c r="F11" s="17">
        <v>63.184043884277344</v>
      </c>
      <c r="G11" s="17">
        <v>22.703029632568359</v>
      </c>
      <c r="H11" s="17">
        <v>26.454708099365234</v>
      </c>
      <c r="I11" s="17">
        <v>0</v>
      </c>
      <c r="J11" s="17">
        <v>63.734897613525391</v>
      </c>
      <c r="K11" s="17">
        <v>91.724151611328125</v>
      </c>
      <c r="L11" s="17">
        <v>93.367446899414063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81.352630615234375</v>
      </c>
      <c r="C12" s="17">
        <v>78.621414184570313</v>
      </c>
      <c r="D12" s="17">
        <v>93.699478149414063</v>
      </c>
      <c r="E12" s="17">
        <v>95.412223815917969</v>
      </c>
      <c r="F12" s="17">
        <v>96.822578430175781</v>
      </c>
      <c r="G12" s="17">
        <v>98.108749389648438</v>
      </c>
      <c r="H12" s="17">
        <v>99.124168395996094</v>
      </c>
      <c r="I12" s="17">
        <v>97.779396057128906</v>
      </c>
      <c r="J12" s="17">
        <v>90.948158264160156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79.768943786621094</v>
      </c>
      <c r="C13" s="17">
        <v>84.989265441894531</v>
      </c>
      <c r="D13" s="17">
        <v>90.893020629882813</v>
      </c>
      <c r="E13" s="17">
        <v>94.928237915039063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89.692413330078125</v>
      </c>
      <c r="C14" s="17">
        <v>90.470787048339844</v>
      </c>
      <c r="D14" s="17">
        <v>90.772323608398438</v>
      </c>
      <c r="E14" s="17">
        <v>94.259262084960938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73" priority="44" stopIfTrue="1" operator="containsText" text="fcd">
      <formula>NOT(ISERROR(SEARCH("fcd",A1)))</formula>
    </cfRule>
    <cfRule type="containsText" dxfId="372" priority="45" stopIfTrue="1" operator="containsText" text="server">
      <formula>NOT(ISERROR(SEARCH("server",A1)))</formula>
    </cfRule>
    <cfRule type="containsText" dxfId="371" priority="46" stopIfTrue="1" operator="containsText" text="ft">
      <formula>NOT(ISERROR(SEARCH("ft",A1)))</formula>
    </cfRule>
    <cfRule type="containsText" dxfId="370" priority="47" stopIfTrue="1" operator="containsText" text="lynxx_">
      <formula>NOT(ISERROR(SEARCH("lynxx_",A1)))</formula>
    </cfRule>
    <cfRule type="containsText" dxfId="36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68" priority="39" operator="equal">
      <formula>FALSE</formula>
    </cfRule>
  </conditionalFormatting>
  <conditionalFormatting sqref="T1:T3">
    <cfRule type="cellIs" dxfId="36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366" priority="36" operator="equal">
      <formula>FALSE</formula>
    </cfRule>
  </conditionalFormatting>
  <conditionalFormatting sqref="T4:T12">
    <cfRule type="cellIs" dxfId="36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64" priority="30" stopIfTrue="1" operator="containsText" text="fcd">
      <formula>NOT(ISERROR(SEARCH("fcd",A4)))</formula>
    </cfRule>
    <cfRule type="containsText" dxfId="363" priority="31" stopIfTrue="1" operator="containsText" text="server">
      <formula>NOT(ISERROR(SEARCH("server",A4)))</formula>
    </cfRule>
    <cfRule type="containsText" dxfId="362" priority="32" stopIfTrue="1" operator="containsText" text="ft">
      <formula>NOT(ISERROR(SEARCH("ft",A4)))</formula>
    </cfRule>
    <cfRule type="containsText" dxfId="361" priority="33" stopIfTrue="1" operator="containsText" text="lynxx_">
      <formula>NOT(ISERROR(SEARCH("lynxx_",A4)))</formula>
    </cfRule>
    <cfRule type="containsText" dxfId="36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59" priority="23" operator="equal">
      <formula>"N/A"</formula>
    </cfRule>
    <cfRule type="cellIs" dxfId="358" priority="24" operator="equal">
      <formula>"OK"</formula>
    </cfRule>
    <cfRule type="containsText" dxfId="357" priority="25" operator="containsText" text="Unsure">
      <formula>NOT(ISERROR(SEARCH("Unsure",J13)))</formula>
    </cfRule>
    <cfRule type="containsText" dxfId="356" priority="26" operator="containsText" text="Can't See">
      <formula>NOT(ISERROR(SEARCH("Can't See",J13)))</formula>
    </cfRule>
    <cfRule type="notContainsText" dxfId="35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54" priority="15" stopIfTrue="1" operator="containsText" text="fcd">
      <formula>NOT(ISERROR(SEARCH("fcd",A10)))</formula>
    </cfRule>
    <cfRule type="containsText" dxfId="353" priority="16" stopIfTrue="1" operator="containsText" text="server">
      <formula>NOT(ISERROR(SEARCH("server",A10)))</formula>
    </cfRule>
    <cfRule type="containsText" dxfId="352" priority="17" stopIfTrue="1" operator="containsText" text="ft">
      <formula>NOT(ISERROR(SEARCH("ft",A10)))</formula>
    </cfRule>
    <cfRule type="containsText" dxfId="351" priority="18" stopIfTrue="1" operator="containsText" text="lynxx_">
      <formula>NOT(ISERROR(SEARCH("lynxx_",A10)))</formula>
    </cfRule>
    <cfRule type="containsText" dxfId="35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49" priority="9" operator="equal">
      <formula>"N/A"</formula>
    </cfRule>
    <cfRule type="cellIs" dxfId="348" priority="10" operator="equal">
      <formula>"OK"</formula>
    </cfRule>
    <cfRule type="containsText" dxfId="347" priority="11" operator="containsText" text="Unsure">
      <formula>NOT(ISERROR(SEARCH("Unsure",J11)))</formula>
    </cfRule>
    <cfRule type="containsText" dxfId="346" priority="12" operator="containsText" text="Can't See">
      <formula>NOT(ISERROR(SEARCH("Can't See",J11)))</formula>
    </cfRule>
    <cfRule type="notContainsText" dxfId="34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44" priority="3" stopIfTrue="1" operator="containsText" text="fcd">
      <formula>NOT(ISERROR(SEARCH("fcd",A11)))</formula>
    </cfRule>
    <cfRule type="containsText" dxfId="343" priority="4" stopIfTrue="1" operator="containsText" text="server">
      <formula>NOT(ISERROR(SEARCH("server",A11)))</formula>
    </cfRule>
    <cfRule type="containsText" dxfId="342" priority="5" stopIfTrue="1" operator="containsText" text="ft">
      <formula>NOT(ISERROR(SEARCH("ft",A11)))</formula>
    </cfRule>
    <cfRule type="containsText" dxfId="341" priority="6" stopIfTrue="1" operator="containsText" text="lynxx_">
      <formula>NOT(ISERROR(SEARCH("lynxx_",A11)))</formula>
    </cfRule>
    <cfRule type="containsText" dxfId="34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959A-2078-47D5-8A69-6899C7784783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92.1925048828125</v>
      </c>
      <c r="C4" s="17">
        <v>93.411712646484375</v>
      </c>
      <c r="D4" s="17">
        <v>95.254920959472656</v>
      </c>
      <c r="E4" s="17">
        <v>96.387741088867188</v>
      </c>
      <c r="F4" s="17">
        <v>96.144630432128906</v>
      </c>
      <c r="G4" s="17">
        <v>98.766975402832031</v>
      </c>
      <c r="H4" s="17">
        <v>99.655723571777344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92.230072021484375</v>
      </c>
      <c r="C5" s="17">
        <v>93.416664123535156</v>
      </c>
      <c r="D5" s="17">
        <v>95.234878540039063</v>
      </c>
      <c r="E5" s="17">
        <v>96.3880615234375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92.229637145996094</v>
      </c>
      <c r="C6" s="17">
        <v>93.459701538085938</v>
      </c>
      <c r="D6" s="17">
        <v>95.354286193847656</v>
      </c>
      <c r="E6" s="17">
        <v>96.2491455078125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99.208030700683594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92.233116149902344</v>
      </c>
      <c r="C7" s="17">
        <v>93.430740356445313</v>
      </c>
      <c r="D7" s="17">
        <v>95.354804992675781</v>
      </c>
      <c r="E7" s="17">
        <v>96.387741088867188</v>
      </c>
      <c r="F7" s="17">
        <v>98.918014526367188</v>
      </c>
      <c r="G7" s="17">
        <v>99.038597106933594</v>
      </c>
      <c r="H7" s="17">
        <v>99.655220031738281</v>
      </c>
      <c r="I7" s="17">
        <v>99.99884033203125</v>
      </c>
      <c r="J7" s="17">
        <v>99.533363342285156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92.260009765625</v>
      </c>
      <c r="C8" s="17">
        <v>93.455078125</v>
      </c>
      <c r="D8" s="17">
        <v>95.315093994140625</v>
      </c>
      <c r="E8" s="17">
        <v>96.387718200683594</v>
      </c>
      <c r="F8" s="17">
        <v>98.474006652832031</v>
      </c>
      <c r="G8" s="17">
        <v>96.1417236328125</v>
      </c>
      <c r="H8" s="17">
        <v>99.202377319335938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90.632156372070313</v>
      </c>
      <c r="C9" s="17">
        <v>93.491645812988281</v>
      </c>
      <c r="D9" s="17">
        <v>95.315765380859375</v>
      </c>
      <c r="E9" s="17">
        <v>96.388572692871094</v>
      </c>
      <c r="F9" s="17">
        <v>95.382293701171875</v>
      </c>
      <c r="G9" s="17">
        <v>99.027488708496094</v>
      </c>
      <c r="H9" s="17">
        <v>99.652877807617188</v>
      </c>
      <c r="I9" s="17">
        <v>99.99884033203125</v>
      </c>
      <c r="J9" s="17">
        <v>98.022209167480469</v>
      </c>
      <c r="K9" s="17">
        <v>99.899307250976563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81.992805480957031</v>
      </c>
      <c r="C10" s="17">
        <v>86.534454345703125</v>
      </c>
      <c r="D10" s="17">
        <v>95.148086547851563</v>
      </c>
      <c r="E10" s="17">
        <v>96.517234802246094</v>
      </c>
      <c r="F10" s="17">
        <v>96.973968505859375</v>
      </c>
      <c r="G10" s="17">
        <v>98.398185729980469</v>
      </c>
      <c r="H10" s="17">
        <v>99.67596435546875</v>
      </c>
      <c r="I10" s="17">
        <v>99.99884033203125</v>
      </c>
      <c r="J10" s="17">
        <v>91.039566040039063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80.681289672851563</v>
      </c>
      <c r="C11" s="17">
        <v>86.494003295898438</v>
      </c>
      <c r="D11" s="17">
        <v>94.671005249023438</v>
      </c>
      <c r="E11" s="17">
        <v>96.448982238769531</v>
      </c>
      <c r="F11" s="17">
        <v>62.995040893554688</v>
      </c>
      <c r="G11" s="17">
        <v>22.887165069580078</v>
      </c>
      <c r="H11" s="17">
        <v>21.50837516784668</v>
      </c>
      <c r="I11" s="17">
        <v>4.9715824127197266</v>
      </c>
      <c r="J11" s="17">
        <v>63.851272583007813</v>
      </c>
      <c r="K11" s="17">
        <v>91.721488952636719</v>
      </c>
      <c r="L11" s="17">
        <v>96.63299560546875</v>
      </c>
      <c r="M11" s="17">
        <v>99.926826477050781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81.632003784179688</v>
      </c>
      <c r="C12" s="17">
        <v>78.626319885253906</v>
      </c>
      <c r="D12" s="17">
        <v>94.851158142089844</v>
      </c>
      <c r="E12" s="17">
        <v>96.383415222167969</v>
      </c>
      <c r="F12" s="17">
        <v>96.832893371582031</v>
      </c>
      <c r="G12" s="17">
        <v>98.122947692871094</v>
      </c>
      <c r="H12" s="17">
        <v>99.173446655273438</v>
      </c>
      <c r="I12" s="17">
        <v>99.99884033203125</v>
      </c>
      <c r="J12" s="17">
        <v>90.977455139160156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80.047698974609375</v>
      </c>
      <c r="C13" s="17">
        <v>85.001075744628906</v>
      </c>
      <c r="D13" s="17">
        <v>92.701057434082031</v>
      </c>
      <c r="E13" s="17">
        <v>96.168983459472656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89.67315673828125</v>
      </c>
      <c r="C14" s="17">
        <v>90.446243286132813</v>
      </c>
      <c r="D14" s="17">
        <v>91.627975463867188</v>
      </c>
      <c r="E14" s="17">
        <v>93.356483459472656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39" priority="44" stopIfTrue="1" operator="containsText" text="fcd">
      <formula>NOT(ISERROR(SEARCH("fcd",A1)))</formula>
    </cfRule>
    <cfRule type="containsText" dxfId="338" priority="45" stopIfTrue="1" operator="containsText" text="server">
      <formula>NOT(ISERROR(SEARCH("server",A1)))</formula>
    </cfRule>
    <cfRule type="containsText" dxfId="337" priority="46" stopIfTrue="1" operator="containsText" text="ft">
      <formula>NOT(ISERROR(SEARCH("ft",A1)))</formula>
    </cfRule>
    <cfRule type="containsText" dxfId="336" priority="47" stopIfTrue="1" operator="containsText" text="lynxx_">
      <formula>NOT(ISERROR(SEARCH("lynxx_",A1)))</formula>
    </cfRule>
    <cfRule type="containsText" dxfId="335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34" priority="39" operator="equal">
      <formula>FALSE</formula>
    </cfRule>
  </conditionalFormatting>
  <conditionalFormatting sqref="T1:T3">
    <cfRule type="cellIs" dxfId="333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332" priority="36" operator="equal">
      <formula>FALSE</formula>
    </cfRule>
  </conditionalFormatting>
  <conditionalFormatting sqref="T4:T12">
    <cfRule type="cellIs" dxfId="331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330" priority="30" stopIfTrue="1" operator="containsText" text="fcd">
      <formula>NOT(ISERROR(SEARCH("fcd",A4)))</formula>
    </cfRule>
    <cfRule type="containsText" dxfId="329" priority="31" stopIfTrue="1" operator="containsText" text="server">
      <formula>NOT(ISERROR(SEARCH("server",A4)))</formula>
    </cfRule>
    <cfRule type="containsText" dxfId="328" priority="32" stopIfTrue="1" operator="containsText" text="ft">
      <formula>NOT(ISERROR(SEARCH("ft",A4)))</formula>
    </cfRule>
    <cfRule type="containsText" dxfId="327" priority="33" stopIfTrue="1" operator="containsText" text="lynxx_">
      <formula>NOT(ISERROR(SEARCH("lynxx_",A4)))</formula>
    </cfRule>
    <cfRule type="containsText" dxfId="32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325" priority="23" operator="equal">
      <formula>"N/A"</formula>
    </cfRule>
    <cfRule type="cellIs" dxfId="324" priority="24" operator="equal">
      <formula>"OK"</formula>
    </cfRule>
    <cfRule type="containsText" dxfId="323" priority="25" operator="containsText" text="Unsure">
      <formula>NOT(ISERROR(SEARCH("Unsure",J13)))</formula>
    </cfRule>
    <cfRule type="containsText" dxfId="322" priority="26" operator="containsText" text="Can't See">
      <formula>NOT(ISERROR(SEARCH("Can't See",J13)))</formula>
    </cfRule>
    <cfRule type="notContainsText" dxfId="32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20" priority="15" stopIfTrue="1" operator="containsText" text="fcd">
      <formula>NOT(ISERROR(SEARCH("fcd",A10)))</formula>
    </cfRule>
    <cfRule type="containsText" dxfId="319" priority="16" stopIfTrue="1" operator="containsText" text="server">
      <formula>NOT(ISERROR(SEARCH("server",A10)))</formula>
    </cfRule>
    <cfRule type="containsText" dxfId="318" priority="17" stopIfTrue="1" operator="containsText" text="ft">
      <formula>NOT(ISERROR(SEARCH("ft",A10)))</formula>
    </cfRule>
    <cfRule type="containsText" dxfId="317" priority="18" stopIfTrue="1" operator="containsText" text="lynxx_">
      <formula>NOT(ISERROR(SEARCH("lynxx_",A10)))</formula>
    </cfRule>
    <cfRule type="containsText" dxfId="31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15" priority="9" operator="equal">
      <formula>"N/A"</formula>
    </cfRule>
    <cfRule type="cellIs" dxfId="314" priority="10" operator="equal">
      <formula>"OK"</formula>
    </cfRule>
    <cfRule type="containsText" dxfId="313" priority="11" operator="containsText" text="Unsure">
      <formula>NOT(ISERROR(SEARCH("Unsure",J11)))</formula>
    </cfRule>
    <cfRule type="containsText" dxfId="312" priority="12" operator="containsText" text="Can't See">
      <formula>NOT(ISERROR(SEARCH("Can't See",J11)))</formula>
    </cfRule>
    <cfRule type="notContainsText" dxfId="31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310" priority="3" stopIfTrue="1" operator="containsText" text="fcd">
      <formula>NOT(ISERROR(SEARCH("fcd",A11)))</formula>
    </cfRule>
    <cfRule type="containsText" dxfId="309" priority="4" stopIfTrue="1" operator="containsText" text="server">
      <formula>NOT(ISERROR(SEARCH("server",A11)))</formula>
    </cfRule>
    <cfRule type="containsText" dxfId="308" priority="5" stopIfTrue="1" operator="containsText" text="ft">
      <formula>NOT(ISERROR(SEARCH("ft",A11)))</formula>
    </cfRule>
    <cfRule type="containsText" dxfId="307" priority="6" stopIfTrue="1" operator="containsText" text="lynxx_">
      <formula>NOT(ISERROR(SEARCH("lynxx_",A11)))</formula>
    </cfRule>
    <cfRule type="containsText" dxfId="30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4B27-C2D8-4A9C-8B76-796DCE3966E1}">
  <dimension ref="A1:T14"/>
  <sheetViews>
    <sheetView workbookViewId="0"/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92.193305969238281</v>
      </c>
      <c r="C4" s="17">
        <v>93.416465759277344</v>
      </c>
      <c r="D4" s="17">
        <v>95.553382873535156</v>
      </c>
      <c r="E4" s="17">
        <v>96.523872375488281</v>
      </c>
      <c r="F4" s="17">
        <v>96.144622802734375</v>
      </c>
      <c r="G4" s="17">
        <v>98.766807556152344</v>
      </c>
      <c r="H4" s="17">
        <v>99.655036926269531</v>
      </c>
      <c r="I4" s="17">
        <v>99.994041442871094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92.230865478515625</v>
      </c>
      <c r="C5" s="17">
        <v>93.421424865722656</v>
      </c>
      <c r="D5" s="17">
        <v>95.593536376953125</v>
      </c>
      <c r="E5" s="17">
        <v>96.524147033691406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92.230842590332031</v>
      </c>
      <c r="C6" s="17">
        <v>93.469253540039063</v>
      </c>
      <c r="D6" s="17">
        <v>95.533065795898438</v>
      </c>
      <c r="E6" s="17">
        <v>96.524154663085938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99.225761413574219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92.233917236328125</v>
      </c>
      <c r="C7" s="17">
        <v>93.435493469238281</v>
      </c>
      <c r="D7" s="17">
        <v>95.533546447753906</v>
      </c>
      <c r="E7" s="17">
        <v>96.523872375488281</v>
      </c>
      <c r="F7" s="17">
        <v>98.918014526367188</v>
      </c>
      <c r="G7" s="17">
        <v>99.038597106933594</v>
      </c>
      <c r="H7" s="17">
        <v>99.655921936035156</v>
      </c>
      <c r="I7" s="17">
        <v>99.99884033203125</v>
      </c>
      <c r="J7" s="17">
        <v>99.65625</v>
      </c>
      <c r="K7" s="17">
        <v>99.965202331542969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92.260810852050781</v>
      </c>
      <c r="C8" s="17">
        <v>93.459831237792969</v>
      </c>
      <c r="D8" s="17">
        <v>95.49383544921875</v>
      </c>
      <c r="E8" s="17">
        <v>96.523841857910156</v>
      </c>
      <c r="F8" s="17">
        <v>98.474006652832031</v>
      </c>
      <c r="G8" s="17">
        <v>96.1417236328125</v>
      </c>
      <c r="H8" s="17">
        <v>99.202377319335938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90.631744384765625</v>
      </c>
      <c r="C9" s="17">
        <v>93.486831665039063</v>
      </c>
      <c r="D9" s="17">
        <v>95.594352722167969</v>
      </c>
      <c r="E9" s="17">
        <v>96.248298645019531</v>
      </c>
      <c r="F9" s="17">
        <v>95.382293701171875</v>
      </c>
      <c r="G9" s="17">
        <v>99.030303955078125</v>
      </c>
      <c r="H9" s="17">
        <v>99.652877807617188</v>
      </c>
      <c r="I9" s="17">
        <v>99.99884033203125</v>
      </c>
      <c r="J9" s="17">
        <v>98.024040222167969</v>
      </c>
      <c r="K9" s="17">
        <v>99.90924072265625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82.272193908691406</v>
      </c>
      <c r="C10" s="17">
        <v>86.529930114746094</v>
      </c>
      <c r="D10" s="17">
        <v>95.628631591796875</v>
      </c>
      <c r="E10" s="17">
        <v>96.387687683105469</v>
      </c>
      <c r="F10" s="17">
        <v>96.983001708984375</v>
      </c>
      <c r="G10" s="17">
        <v>98.399002075195313</v>
      </c>
      <c r="H10" s="17">
        <v>99.645042419433594</v>
      </c>
      <c r="I10" s="17">
        <v>99.782417297363281</v>
      </c>
      <c r="J10" s="17">
        <v>91.068283081054688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80.960433959960938</v>
      </c>
      <c r="C11" s="17">
        <v>86.492340087890625</v>
      </c>
      <c r="D11" s="17">
        <v>95.480125427246094</v>
      </c>
      <c r="E11" s="17">
        <v>96.3050537109375</v>
      </c>
      <c r="F11" s="17">
        <v>62.827220916748047</v>
      </c>
      <c r="G11" s="17">
        <v>23.299707412719727</v>
      </c>
      <c r="H11" s="17">
        <v>18.837490081787109</v>
      </c>
      <c r="I11" s="17">
        <v>11.138524055480957</v>
      </c>
      <c r="J11" s="17">
        <v>63.967136383056641</v>
      </c>
      <c r="K11" s="17">
        <v>91.721488952636719</v>
      </c>
      <c r="L11" s="17">
        <v>99.053390502929688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81.911369323730469</v>
      </c>
      <c r="C12" s="17">
        <v>78.621658325195313</v>
      </c>
      <c r="D12" s="17">
        <v>95.710723876953125</v>
      </c>
      <c r="E12" s="17">
        <v>96.382087707519531</v>
      </c>
      <c r="F12" s="17">
        <v>96.842437744140625</v>
      </c>
      <c r="G12" s="17">
        <v>98.150489807128906</v>
      </c>
      <c r="H12" s="17">
        <v>99.291862487792969</v>
      </c>
      <c r="I12" s="17">
        <v>99.781051635742188</v>
      </c>
      <c r="J12" s="17">
        <v>91.006561279296875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80.322921752929688</v>
      </c>
      <c r="C13" s="17">
        <v>84.953422546386719</v>
      </c>
      <c r="D13" s="17">
        <v>95.011405944824219</v>
      </c>
      <c r="E13" s="17">
        <v>94.953704833984375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89.662200927734375</v>
      </c>
      <c r="C14" s="17">
        <v>90.368057250976563</v>
      </c>
      <c r="D14" s="17">
        <v>93.033729553222656</v>
      </c>
      <c r="E14" s="17">
        <v>92.456016540527344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305" priority="44" stopIfTrue="1" operator="containsText" text="fcd">
      <formula>NOT(ISERROR(SEARCH("fcd",A1)))</formula>
    </cfRule>
    <cfRule type="containsText" dxfId="304" priority="45" stopIfTrue="1" operator="containsText" text="server">
      <formula>NOT(ISERROR(SEARCH("server",A1)))</formula>
    </cfRule>
    <cfRule type="containsText" dxfId="303" priority="46" stopIfTrue="1" operator="containsText" text="ft">
      <formula>NOT(ISERROR(SEARCH("ft",A1)))</formula>
    </cfRule>
    <cfRule type="containsText" dxfId="302" priority="47" stopIfTrue="1" operator="containsText" text="lynxx_">
      <formula>NOT(ISERROR(SEARCH("lynxx_",A1)))</formula>
    </cfRule>
    <cfRule type="containsText" dxfId="30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300" priority="39" operator="equal">
      <formula>FALSE</formula>
    </cfRule>
  </conditionalFormatting>
  <conditionalFormatting sqref="T1:T3">
    <cfRule type="cellIs" dxfId="29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98" priority="36" operator="equal">
      <formula>FALSE</formula>
    </cfRule>
  </conditionalFormatting>
  <conditionalFormatting sqref="T4:T12">
    <cfRule type="cellIs" dxfId="29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96" priority="30" stopIfTrue="1" operator="containsText" text="fcd">
      <formula>NOT(ISERROR(SEARCH("fcd",A4)))</formula>
    </cfRule>
    <cfRule type="containsText" dxfId="295" priority="31" stopIfTrue="1" operator="containsText" text="server">
      <formula>NOT(ISERROR(SEARCH("server",A4)))</formula>
    </cfRule>
    <cfRule type="containsText" dxfId="294" priority="32" stopIfTrue="1" operator="containsText" text="ft">
      <formula>NOT(ISERROR(SEARCH("ft",A4)))</formula>
    </cfRule>
    <cfRule type="containsText" dxfId="293" priority="33" stopIfTrue="1" operator="containsText" text="lynxx_">
      <formula>NOT(ISERROR(SEARCH("lynxx_",A4)))</formula>
    </cfRule>
    <cfRule type="containsText" dxfId="292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91" priority="23" operator="equal">
      <formula>"N/A"</formula>
    </cfRule>
    <cfRule type="cellIs" dxfId="290" priority="24" operator="equal">
      <formula>"OK"</formula>
    </cfRule>
    <cfRule type="containsText" dxfId="289" priority="25" operator="containsText" text="Unsure">
      <formula>NOT(ISERROR(SEARCH("Unsure",J13)))</formula>
    </cfRule>
    <cfRule type="containsText" dxfId="288" priority="26" operator="containsText" text="Can't See">
      <formula>NOT(ISERROR(SEARCH("Can't See",J13)))</formula>
    </cfRule>
    <cfRule type="notContainsText" dxfId="287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86" priority="15" stopIfTrue="1" operator="containsText" text="fcd">
      <formula>NOT(ISERROR(SEARCH("fcd",A10)))</formula>
    </cfRule>
    <cfRule type="containsText" dxfId="285" priority="16" stopIfTrue="1" operator="containsText" text="server">
      <formula>NOT(ISERROR(SEARCH("server",A10)))</formula>
    </cfRule>
    <cfRule type="containsText" dxfId="284" priority="17" stopIfTrue="1" operator="containsText" text="ft">
      <formula>NOT(ISERROR(SEARCH("ft",A10)))</formula>
    </cfRule>
    <cfRule type="containsText" dxfId="283" priority="18" stopIfTrue="1" operator="containsText" text="lynxx_">
      <formula>NOT(ISERROR(SEARCH("lynxx_",A10)))</formula>
    </cfRule>
    <cfRule type="containsText" dxfId="282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81" priority="9" operator="equal">
      <formula>"N/A"</formula>
    </cfRule>
    <cfRule type="cellIs" dxfId="280" priority="10" operator="equal">
      <formula>"OK"</formula>
    </cfRule>
    <cfRule type="containsText" dxfId="279" priority="11" operator="containsText" text="Unsure">
      <formula>NOT(ISERROR(SEARCH("Unsure",J11)))</formula>
    </cfRule>
    <cfRule type="containsText" dxfId="278" priority="12" operator="containsText" text="Can't See">
      <formula>NOT(ISERROR(SEARCH("Can't See",J11)))</formula>
    </cfRule>
    <cfRule type="notContainsText" dxfId="277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76" priority="3" stopIfTrue="1" operator="containsText" text="fcd">
      <formula>NOT(ISERROR(SEARCH("fcd",A11)))</formula>
    </cfRule>
    <cfRule type="containsText" dxfId="275" priority="4" stopIfTrue="1" operator="containsText" text="server">
      <formula>NOT(ISERROR(SEARCH("server",A11)))</formula>
    </cfRule>
    <cfRule type="containsText" dxfId="274" priority="5" stopIfTrue="1" operator="containsText" text="ft">
      <formula>NOT(ISERROR(SEARCH("ft",A11)))</formula>
    </cfRule>
    <cfRule type="containsText" dxfId="273" priority="6" stopIfTrue="1" operator="containsText" text="lynxx_">
      <formula>NOT(ISERROR(SEARCH("lynxx_",A11)))</formula>
    </cfRule>
    <cfRule type="containsText" dxfId="272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FE2-8A18-418C-8E95-9115614BFE63}">
  <dimension ref="A1:T14"/>
  <sheetViews>
    <sheetView workbookViewId="0">
      <selection activeCell="A4" sqref="A4:R14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92.193702697753906</v>
      </c>
      <c r="C4" s="17">
        <v>93.41650390625</v>
      </c>
      <c r="D4" s="17">
        <v>95.672660827636719</v>
      </c>
      <c r="E4" s="17">
        <v>96.248184204101563</v>
      </c>
      <c r="F4" s="17">
        <v>96.14056396484375</v>
      </c>
      <c r="G4" s="17">
        <v>98.719123840332031</v>
      </c>
      <c r="H4" s="17">
        <v>99.457504272460938</v>
      </c>
      <c r="I4" s="17">
        <v>98.616119384765625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92.231674194335938</v>
      </c>
      <c r="C5" s="17">
        <v>93.426261901855469</v>
      </c>
      <c r="D5" s="17">
        <v>95.732597351074219</v>
      </c>
      <c r="E5" s="17">
        <v>96.387260437011719</v>
      </c>
      <c r="F5" s="17">
        <v>88.01611328125</v>
      </c>
      <c r="G5" s="17">
        <v>98.650787353515625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92.231239318847656</v>
      </c>
      <c r="C6" s="17">
        <v>93.474090576171875</v>
      </c>
      <c r="D6" s="17">
        <v>95.672203063964844</v>
      </c>
      <c r="E6" s="17">
        <v>96.248344421386719</v>
      </c>
      <c r="F6" s="17">
        <v>99.853958129882813</v>
      </c>
      <c r="G6" s="17">
        <v>99.033775329589844</v>
      </c>
      <c r="H6" s="17">
        <v>99.650741577148438</v>
      </c>
      <c r="I6" s="17">
        <v>99.99884033203125</v>
      </c>
      <c r="J6" s="17">
        <v>99.483146667480469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92.234718322753906</v>
      </c>
      <c r="C7" s="17">
        <v>93.440322875976563</v>
      </c>
      <c r="D7" s="17">
        <v>95.672660827636719</v>
      </c>
      <c r="E7" s="17">
        <v>96.387100219726563</v>
      </c>
      <c r="F7" s="17">
        <v>98.918014526367188</v>
      </c>
      <c r="G7" s="17">
        <v>99.038597106933594</v>
      </c>
      <c r="H7" s="17">
        <v>99.655921936035156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92.260810852050781</v>
      </c>
      <c r="C8" s="17">
        <v>93.459869384765625</v>
      </c>
      <c r="D8" s="17">
        <v>95.613105773925781</v>
      </c>
      <c r="E8" s="17">
        <v>96.248161315917969</v>
      </c>
      <c r="F8" s="17">
        <v>98.474006652832031</v>
      </c>
      <c r="G8" s="17">
        <v>96.1417236328125</v>
      </c>
      <c r="H8" s="17">
        <v>99.266853332519531</v>
      </c>
      <c r="I8" s="17">
        <v>99.99884033203125</v>
      </c>
      <c r="J8" s="17">
        <v>99.857688903808594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90.631752014160156</v>
      </c>
      <c r="C9" s="17">
        <v>93.486778259277344</v>
      </c>
      <c r="D9" s="17">
        <v>95.713241577148438</v>
      </c>
      <c r="E9" s="17">
        <v>96.248466491699219</v>
      </c>
      <c r="F9" s="17">
        <v>95.382293701171875</v>
      </c>
      <c r="G9" s="17">
        <v>99.030303955078125</v>
      </c>
      <c r="H9" s="17">
        <v>99.652877807617188</v>
      </c>
      <c r="I9" s="17">
        <v>99.99884033203125</v>
      </c>
      <c r="J9" s="17">
        <v>98.024040222167969</v>
      </c>
      <c r="K9" s="17">
        <v>99.911727905273438</v>
      </c>
      <c r="L9" s="17">
        <v>99.958259582519531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82.55157470703125</v>
      </c>
      <c r="C10" s="17">
        <v>86.539436340332031</v>
      </c>
      <c r="D10" s="17">
        <v>95.748825073242188</v>
      </c>
      <c r="E10" s="17">
        <v>96.385948181152344</v>
      </c>
      <c r="F10" s="17">
        <v>96.99267578125</v>
      </c>
      <c r="G10" s="17">
        <v>98.401542663574219</v>
      </c>
      <c r="H10" s="17">
        <v>99.651786804199219</v>
      </c>
      <c r="I10" s="17">
        <v>99.99884033203125</v>
      </c>
      <c r="J10" s="17">
        <v>91.096824645996094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81.239578247070313</v>
      </c>
      <c r="C11" s="17">
        <v>86.501449584960938</v>
      </c>
      <c r="D11" s="17">
        <v>95.650978088378906</v>
      </c>
      <c r="E11" s="17">
        <v>96.304466247558594</v>
      </c>
      <c r="F11" s="17">
        <v>62.624553680419922</v>
      </c>
      <c r="G11" s="17">
        <v>23.299707412719727</v>
      </c>
      <c r="H11" s="17">
        <v>14.577695846557617</v>
      </c>
      <c r="I11" s="17">
        <v>0</v>
      </c>
      <c r="J11" s="17">
        <v>64.082252502441406</v>
      </c>
      <c r="K11" s="17">
        <v>91.721488952636719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82.19073486328125</v>
      </c>
      <c r="C12" s="17">
        <v>78.631378173828125</v>
      </c>
      <c r="D12" s="17">
        <v>95.828811645507813</v>
      </c>
      <c r="E12" s="17">
        <v>96.381546020507813</v>
      </c>
      <c r="F12" s="17">
        <v>96.852622985839844</v>
      </c>
      <c r="G12" s="17">
        <v>98.162155151367188</v>
      </c>
      <c r="H12" s="17">
        <v>99.405097961425781</v>
      </c>
      <c r="I12" s="17">
        <v>99.99884033203125</v>
      </c>
      <c r="J12" s="17">
        <v>91.035476684570313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80.601692199707031</v>
      </c>
      <c r="C13" s="17">
        <v>84.966712951660156</v>
      </c>
      <c r="D13" s="17">
        <v>95.139884948730469</v>
      </c>
      <c r="E13" s="17">
        <v>96.175926208496094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89.655982971191406</v>
      </c>
      <c r="C14" s="17">
        <v>90.320877075195313</v>
      </c>
      <c r="D14" s="17">
        <v>93.140045166015625</v>
      </c>
      <c r="E14" s="17">
        <v>94.008102416992188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271" priority="44" stopIfTrue="1" operator="containsText" text="fcd">
      <formula>NOT(ISERROR(SEARCH("fcd",A1)))</formula>
    </cfRule>
    <cfRule type="containsText" dxfId="270" priority="45" stopIfTrue="1" operator="containsText" text="server">
      <formula>NOT(ISERROR(SEARCH("server",A1)))</formula>
    </cfRule>
    <cfRule type="containsText" dxfId="269" priority="46" stopIfTrue="1" operator="containsText" text="ft">
      <formula>NOT(ISERROR(SEARCH("ft",A1)))</formula>
    </cfRule>
    <cfRule type="containsText" dxfId="268" priority="47" stopIfTrue="1" operator="containsText" text="lynxx_">
      <formula>NOT(ISERROR(SEARCH("lynxx_",A1)))</formula>
    </cfRule>
    <cfRule type="containsText" dxfId="267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266" priority="39" operator="equal">
      <formula>FALSE</formula>
    </cfRule>
  </conditionalFormatting>
  <conditionalFormatting sqref="T1:T3">
    <cfRule type="cellIs" dxfId="265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64" priority="36" operator="equal">
      <formula>FALSE</formula>
    </cfRule>
  </conditionalFormatting>
  <conditionalFormatting sqref="T4:T12">
    <cfRule type="cellIs" dxfId="263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62" priority="30" stopIfTrue="1" operator="containsText" text="fcd">
      <formula>NOT(ISERROR(SEARCH("fcd",A4)))</formula>
    </cfRule>
    <cfRule type="containsText" dxfId="261" priority="31" stopIfTrue="1" operator="containsText" text="server">
      <formula>NOT(ISERROR(SEARCH("server",A4)))</formula>
    </cfRule>
    <cfRule type="containsText" dxfId="260" priority="32" stopIfTrue="1" operator="containsText" text="ft">
      <formula>NOT(ISERROR(SEARCH("ft",A4)))</formula>
    </cfRule>
    <cfRule type="containsText" dxfId="259" priority="33" stopIfTrue="1" operator="containsText" text="lynxx_">
      <formula>NOT(ISERROR(SEARCH("lynxx_",A4)))</formula>
    </cfRule>
    <cfRule type="containsText" dxfId="258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57" priority="23" operator="equal">
      <formula>"N/A"</formula>
    </cfRule>
    <cfRule type="cellIs" dxfId="256" priority="24" operator="equal">
      <formula>"OK"</formula>
    </cfRule>
    <cfRule type="containsText" dxfId="255" priority="25" operator="containsText" text="Unsure">
      <formula>NOT(ISERROR(SEARCH("Unsure",J13)))</formula>
    </cfRule>
    <cfRule type="containsText" dxfId="254" priority="26" operator="containsText" text="Can't See">
      <formula>NOT(ISERROR(SEARCH("Can't See",J13)))</formula>
    </cfRule>
    <cfRule type="notContainsText" dxfId="253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52" priority="15" stopIfTrue="1" operator="containsText" text="fcd">
      <formula>NOT(ISERROR(SEARCH("fcd",A10)))</formula>
    </cfRule>
    <cfRule type="containsText" dxfId="251" priority="16" stopIfTrue="1" operator="containsText" text="server">
      <formula>NOT(ISERROR(SEARCH("server",A10)))</formula>
    </cfRule>
    <cfRule type="containsText" dxfId="250" priority="17" stopIfTrue="1" operator="containsText" text="ft">
      <formula>NOT(ISERROR(SEARCH("ft",A10)))</formula>
    </cfRule>
    <cfRule type="containsText" dxfId="249" priority="18" stopIfTrue="1" operator="containsText" text="lynxx_">
      <formula>NOT(ISERROR(SEARCH("lynxx_",A10)))</formula>
    </cfRule>
    <cfRule type="containsText" dxfId="248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47" priority="9" operator="equal">
      <formula>"N/A"</formula>
    </cfRule>
    <cfRule type="cellIs" dxfId="246" priority="10" operator="equal">
      <formula>"OK"</formula>
    </cfRule>
    <cfRule type="containsText" dxfId="245" priority="11" operator="containsText" text="Unsure">
      <formula>NOT(ISERROR(SEARCH("Unsure",J11)))</formula>
    </cfRule>
    <cfRule type="containsText" dxfId="244" priority="12" operator="containsText" text="Can't See">
      <formula>NOT(ISERROR(SEARCH("Can't See",J11)))</formula>
    </cfRule>
    <cfRule type="notContainsText" dxfId="243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42" priority="3" stopIfTrue="1" operator="containsText" text="fcd">
      <formula>NOT(ISERROR(SEARCH("fcd",A11)))</formula>
    </cfRule>
    <cfRule type="containsText" dxfId="241" priority="4" stopIfTrue="1" operator="containsText" text="server">
      <formula>NOT(ISERROR(SEARCH("server",A11)))</formula>
    </cfRule>
    <cfRule type="containsText" dxfId="240" priority="5" stopIfTrue="1" operator="containsText" text="ft">
      <formula>NOT(ISERROR(SEARCH("ft",A11)))</formula>
    </cfRule>
    <cfRule type="containsText" dxfId="239" priority="6" stopIfTrue="1" operator="containsText" text="lynxx_">
      <formula>NOT(ISERROR(SEARCH("lynxx_",A11)))</formula>
    </cfRule>
    <cfRule type="containsText" dxfId="238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5A38-7E2B-40D2-BEB4-E80579FE4CB7}">
  <dimension ref="A1:T14"/>
  <sheetViews>
    <sheetView topLeftCell="C1" workbookViewId="0">
      <selection sqref="A1:T14"/>
    </sheetView>
  </sheetViews>
  <sheetFormatPr defaultRowHeight="14.5" x14ac:dyDescent="0.35"/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92.206985473632813</v>
      </c>
      <c r="C4" s="17">
        <v>93.416542053222656</v>
      </c>
      <c r="D4" s="17">
        <v>95.772071838378906</v>
      </c>
      <c r="E4" s="17">
        <v>96.248855590820313</v>
      </c>
      <c r="F4" s="17">
        <v>96.140495300292969</v>
      </c>
      <c r="G4" s="17">
        <v>99.344146728515625</v>
      </c>
      <c r="H4" s="17">
        <v>99.454765319824219</v>
      </c>
      <c r="I4" s="17">
        <v>99.974784851074219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92.244956970214844</v>
      </c>
      <c r="C5" s="17">
        <v>93.426307678222656</v>
      </c>
      <c r="D5" s="17">
        <v>95.831947326660156</v>
      </c>
      <c r="E5" s="17">
        <v>96.249031066894531</v>
      </c>
      <c r="F5" s="17">
        <v>88.01611328125</v>
      </c>
      <c r="G5" s="17">
        <v>99.285430908203125</v>
      </c>
      <c r="H5" s="17">
        <v>99.641075134277344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92.244522094726563</v>
      </c>
      <c r="C6" s="17">
        <v>93.469345092773438</v>
      </c>
      <c r="D6" s="17">
        <v>95.83087158203125</v>
      </c>
      <c r="E6" s="17">
        <v>96.249031066894531</v>
      </c>
      <c r="F6" s="17">
        <v>99.853797912597656</v>
      </c>
      <c r="G6" s="17">
        <v>99.662528991699219</v>
      </c>
      <c r="H6" s="17">
        <v>99.647354125976563</v>
      </c>
      <c r="I6" s="17">
        <v>99.945915222167969</v>
      </c>
      <c r="J6" s="17">
        <v>99.483146667480469</v>
      </c>
      <c r="K6" s="17">
        <v>99.989990234375</v>
      </c>
      <c r="L6" s="17">
        <v>99.999832153320313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92.248001098632813</v>
      </c>
      <c r="C7" s="17">
        <v>93.440361022949219</v>
      </c>
      <c r="D7" s="17">
        <v>95.772071838378906</v>
      </c>
      <c r="E7" s="17">
        <v>96.248863220214844</v>
      </c>
      <c r="F7" s="17">
        <v>98.918014526367188</v>
      </c>
      <c r="G7" s="17">
        <v>99.665603637695313</v>
      </c>
      <c r="H7" s="17">
        <v>99.655921936035156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92.276123046875</v>
      </c>
      <c r="C8" s="17">
        <v>93.459907531738281</v>
      </c>
      <c r="D8" s="17">
        <v>95.712516784667969</v>
      </c>
      <c r="E8" s="17">
        <v>96.248832702636719</v>
      </c>
      <c r="F8" s="17">
        <v>98.474006652832031</v>
      </c>
      <c r="G8" s="17">
        <v>96.768898010253906</v>
      </c>
      <c r="H8" s="17">
        <v>99.266853332519531</v>
      </c>
      <c r="I8" s="17">
        <v>99.99884033203125</v>
      </c>
      <c r="J8" s="17">
        <v>99.858917236328125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90.645042419433594</v>
      </c>
      <c r="C9" s="17">
        <v>93.486831665039063</v>
      </c>
      <c r="D9" s="17">
        <v>95.852264404296875</v>
      </c>
      <c r="E9" s="17">
        <v>96.249961853027344</v>
      </c>
      <c r="F9" s="17">
        <v>95.382293701171875</v>
      </c>
      <c r="G9" s="17">
        <v>99.656745910644531</v>
      </c>
      <c r="H9" s="17">
        <v>99.652877807617188</v>
      </c>
      <c r="I9" s="17">
        <v>99.99884033203125</v>
      </c>
      <c r="J9" s="17">
        <v>98.023406982421875</v>
      </c>
      <c r="K9" s="17">
        <v>99.904258728027344</v>
      </c>
      <c r="L9" s="17">
        <v>99.927314758300781</v>
      </c>
      <c r="M9" s="17">
        <v>99.782241821289063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82.563301086425781</v>
      </c>
      <c r="C10" s="17">
        <v>86.520454406738281</v>
      </c>
      <c r="D10" s="17">
        <v>95.788780212402344</v>
      </c>
      <c r="E10" s="17">
        <v>95.693496704101563</v>
      </c>
      <c r="F10" s="17">
        <v>96.991935729980469</v>
      </c>
      <c r="G10" s="17">
        <v>98.4046630859375</v>
      </c>
      <c r="H10" s="17">
        <v>99.607040405273438</v>
      </c>
      <c r="I10" s="17">
        <v>99.6856689453125</v>
      </c>
      <c r="J10" s="17">
        <v>91.096824645996094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81.2528076171875</v>
      </c>
      <c r="C11" s="17">
        <v>86.499786376953125</v>
      </c>
      <c r="D11" s="17">
        <v>95.803726196289063</v>
      </c>
      <c r="E11" s="17">
        <v>96.199691772460938</v>
      </c>
      <c r="F11" s="17">
        <v>62.443267822265625</v>
      </c>
      <c r="G11" s="17">
        <v>23.299707412719727</v>
      </c>
      <c r="H11" s="17">
        <v>9.0270061492919922</v>
      </c>
      <c r="I11" s="17">
        <v>0</v>
      </c>
      <c r="J11" s="17">
        <v>64.401741027832031</v>
      </c>
      <c r="K11" s="17">
        <v>91.721488952636719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82.204063415527344</v>
      </c>
      <c r="C12" s="17">
        <v>78.626693725585938</v>
      </c>
      <c r="D12" s="17">
        <v>95.947479248046875</v>
      </c>
      <c r="E12" s="17">
        <v>96.244476318359375</v>
      </c>
      <c r="F12" s="17">
        <v>96.851860046386719</v>
      </c>
      <c r="G12" s="17">
        <v>98.161827087402344</v>
      </c>
      <c r="H12" s="17">
        <v>99.517265319824219</v>
      </c>
      <c r="I12" s="17">
        <v>99.600593566894531</v>
      </c>
      <c r="J12" s="17">
        <v>91.035476684570313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80.59112548828125</v>
      </c>
      <c r="C13" s="17">
        <v>84.968788146972656</v>
      </c>
      <c r="D13" s="17">
        <v>95.367729187011719</v>
      </c>
      <c r="E13" s="17">
        <v>96.353012084960938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89.677513122558594</v>
      </c>
      <c r="C14" s="17">
        <v>90.220504760742188</v>
      </c>
      <c r="D14" s="17">
        <v>93.145172119140625</v>
      </c>
      <c r="E14" s="17">
        <v>93.109954833984375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237" priority="44" stopIfTrue="1" operator="containsText" text="fcd">
      <formula>NOT(ISERROR(SEARCH("fcd",A1)))</formula>
    </cfRule>
    <cfRule type="containsText" dxfId="236" priority="45" stopIfTrue="1" operator="containsText" text="server">
      <formula>NOT(ISERROR(SEARCH("server",A1)))</formula>
    </cfRule>
    <cfRule type="containsText" dxfId="235" priority="46" stopIfTrue="1" operator="containsText" text="ft">
      <formula>NOT(ISERROR(SEARCH("ft",A1)))</formula>
    </cfRule>
    <cfRule type="containsText" dxfId="234" priority="47" stopIfTrue="1" operator="containsText" text="lynxx_">
      <formula>NOT(ISERROR(SEARCH("lynxx_",A1)))</formula>
    </cfRule>
    <cfRule type="containsText" dxfId="23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232" priority="39" operator="equal">
      <formula>FALSE</formula>
    </cfRule>
  </conditionalFormatting>
  <conditionalFormatting sqref="T1:T3">
    <cfRule type="cellIs" dxfId="23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230" priority="36" operator="equal">
      <formula>FALSE</formula>
    </cfRule>
  </conditionalFormatting>
  <conditionalFormatting sqref="T4:T12">
    <cfRule type="cellIs" dxfId="22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28" priority="30" stopIfTrue="1" operator="containsText" text="fcd">
      <formula>NOT(ISERROR(SEARCH("fcd",A4)))</formula>
    </cfRule>
    <cfRule type="containsText" dxfId="227" priority="31" stopIfTrue="1" operator="containsText" text="server">
      <formula>NOT(ISERROR(SEARCH("server",A4)))</formula>
    </cfRule>
    <cfRule type="containsText" dxfId="226" priority="32" stopIfTrue="1" operator="containsText" text="ft">
      <formula>NOT(ISERROR(SEARCH("ft",A4)))</formula>
    </cfRule>
    <cfRule type="containsText" dxfId="225" priority="33" stopIfTrue="1" operator="containsText" text="lynxx_">
      <formula>NOT(ISERROR(SEARCH("lynxx_",A4)))</formula>
    </cfRule>
    <cfRule type="containsText" dxfId="224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223" priority="23" operator="equal">
      <formula>"N/A"</formula>
    </cfRule>
    <cfRule type="cellIs" dxfId="222" priority="24" operator="equal">
      <formula>"OK"</formula>
    </cfRule>
    <cfRule type="containsText" dxfId="221" priority="25" operator="containsText" text="Unsure">
      <formula>NOT(ISERROR(SEARCH("Unsure",J13)))</formula>
    </cfRule>
    <cfRule type="containsText" dxfId="220" priority="26" operator="containsText" text="Can't See">
      <formula>NOT(ISERROR(SEARCH("Can't See",J13)))</formula>
    </cfRule>
    <cfRule type="notContainsText" dxfId="219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218" priority="15" stopIfTrue="1" operator="containsText" text="fcd">
      <formula>NOT(ISERROR(SEARCH("fcd",A10)))</formula>
    </cfRule>
    <cfRule type="containsText" dxfId="217" priority="16" stopIfTrue="1" operator="containsText" text="server">
      <formula>NOT(ISERROR(SEARCH("server",A10)))</formula>
    </cfRule>
    <cfRule type="containsText" dxfId="216" priority="17" stopIfTrue="1" operator="containsText" text="ft">
      <formula>NOT(ISERROR(SEARCH("ft",A10)))</formula>
    </cfRule>
    <cfRule type="containsText" dxfId="215" priority="18" stopIfTrue="1" operator="containsText" text="lynxx_">
      <formula>NOT(ISERROR(SEARCH("lynxx_",A10)))</formula>
    </cfRule>
    <cfRule type="containsText" dxfId="214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213" priority="9" operator="equal">
      <formula>"N/A"</formula>
    </cfRule>
    <cfRule type="cellIs" dxfId="212" priority="10" operator="equal">
      <formula>"OK"</formula>
    </cfRule>
    <cfRule type="containsText" dxfId="211" priority="11" operator="containsText" text="Unsure">
      <formula>NOT(ISERROR(SEARCH("Unsure",J11)))</formula>
    </cfRule>
    <cfRule type="containsText" dxfId="210" priority="12" operator="containsText" text="Can't See">
      <formula>NOT(ISERROR(SEARCH("Can't See",J11)))</formula>
    </cfRule>
    <cfRule type="notContainsText" dxfId="209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08" priority="3" stopIfTrue="1" operator="containsText" text="fcd">
      <formula>NOT(ISERROR(SEARCH("fcd",A11)))</formula>
    </cfRule>
    <cfRule type="containsText" dxfId="207" priority="4" stopIfTrue="1" operator="containsText" text="server">
      <formula>NOT(ISERROR(SEARCH("server",A11)))</formula>
    </cfRule>
    <cfRule type="containsText" dxfId="206" priority="5" stopIfTrue="1" operator="containsText" text="ft">
      <formula>NOT(ISERROR(SEARCH("ft",A11)))</formula>
    </cfRule>
    <cfRule type="containsText" dxfId="205" priority="6" stopIfTrue="1" operator="containsText" text="lynxx_">
      <formula>NOT(ISERROR(SEARCH("lynxx_",A11)))</formula>
    </cfRule>
    <cfRule type="containsText" dxfId="204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53173-2F14-4A15-8D78-0F5947CCA7DE}">
  <dimension ref="A1:T14"/>
  <sheetViews>
    <sheetView zoomScale="70" zoomScaleNormal="70" workbookViewId="0">
      <selection activeCell="B1" sqref="B1"/>
    </sheetView>
  </sheetViews>
  <sheetFormatPr defaultRowHeight="14.5" x14ac:dyDescent="0.35"/>
  <cols>
    <col min="1" max="1" width="40.54296875" bestFit="1" customWidth="1"/>
    <col min="14" max="14" width="32" bestFit="1" customWidth="1"/>
    <col min="17" max="17" width="23.179687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92.186088562011719</v>
      </c>
      <c r="C4" s="17">
        <v>93.416549682617188</v>
      </c>
      <c r="D4" s="17">
        <v>96.307456970214844</v>
      </c>
      <c r="E4" s="17">
        <v>96.385604858398438</v>
      </c>
      <c r="F4" s="17">
        <v>96.138832092285156</v>
      </c>
      <c r="G4" s="17">
        <v>99.372207641601563</v>
      </c>
      <c r="H4" s="17">
        <v>99.717079162597656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92.212730407714844</v>
      </c>
      <c r="C5" s="17">
        <v>93.435966491699219</v>
      </c>
      <c r="D5" s="17">
        <v>96.347335815429688</v>
      </c>
      <c r="E5" s="17">
        <v>96.385688781738281</v>
      </c>
      <c r="F5" s="17">
        <v>88.013206481933594</v>
      </c>
      <c r="G5" s="17">
        <v>99.251426696777344</v>
      </c>
      <c r="H5" s="17">
        <v>99.858261108398438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92.212303161621094</v>
      </c>
      <c r="C6" s="17">
        <v>93.478927612304688</v>
      </c>
      <c r="D6" s="17">
        <v>96.307647705078125</v>
      </c>
      <c r="E6" s="17">
        <v>96.385711669921875</v>
      </c>
      <c r="F6" s="17">
        <v>99.853797912597656</v>
      </c>
      <c r="G6" s="17">
        <v>99.662528991699219</v>
      </c>
      <c r="H6" s="17">
        <v>99.992271423339844</v>
      </c>
      <c r="I6" s="17">
        <v>99.99884033203125</v>
      </c>
      <c r="J6" s="17">
        <v>99.483314514160156</v>
      </c>
      <c r="K6" s="17">
        <v>99.977554321289063</v>
      </c>
      <c r="L6" s="17">
        <v>99.948333740234375</v>
      </c>
      <c r="M6" s="17">
        <v>99.638359069824219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92.216178894042969</v>
      </c>
      <c r="C7" s="17">
        <v>93.449813842773438</v>
      </c>
      <c r="D7" s="17">
        <v>96.366989135742188</v>
      </c>
      <c r="E7" s="17">
        <v>96.385612487792969</v>
      </c>
      <c r="F7" s="17">
        <v>98.918014526367188</v>
      </c>
      <c r="G7" s="17">
        <v>99.665603637695313</v>
      </c>
      <c r="H7" s="17">
        <v>99.999832153320313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92.243492126464844</v>
      </c>
      <c r="C8" s="17">
        <v>93.45513916015625</v>
      </c>
      <c r="D8" s="17">
        <v>96.30743408203125</v>
      </c>
      <c r="E8" s="17">
        <v>96.385597229003906</v>
      </c>
      <c r="F8" s="17">
        <v>98.474006652832031</v>
      </c>
      <c r="G8" s="17">
        <v>99.545051574707031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91.076545715332031</v>
      </c>
      <c r="C9" s="17">
        <v>93.498741149902344</v>
      </c>
      <c r="D9" s="17">
        <v>96.298370361328125</v>
      </c>
      <c r="E9" s="17">
        <v>96.386634826660156</v>
      </c>
      <c r="F9" s="17">
        <v>95.391593933105469</v>
      </c>
      <c r="G9" s="17">
        <v>99.609359741210938</v>
      </c>
      <c r="H9" s="17">
        <v>99.791831970214844</v>
      </c>
      <c r="I9" s="17">
        <v>99.967605590820313</v>
      </c>
      <c r="J9" s="17">
        <v>98.025192260742188</v>
      </c>
      <c r="K9" s="17">
        <v>99.894317626953125</v>
      </c>
      <c r="L9" s="17">
        <v>99.907035827636719</v>
      </c>
      <c r="M9" s="17">
        <v>99.854644775390625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82.614913940429688</v>
      </c>
      <c r="C10" s="17">
        <v>86.549522399902344</v>
      </c>
      <c r="D10" s="17">
        <v>96.265792846679688</v>
      </c>
      <c r="E10" s="17">
        <v>96.524185180664063</v>
      </c>
      <c r="F10" s="17">
        <v>96.994705200195313</v>
      </c>
      <c r="G10" s="17">
        <v>99.481941223144531</v>
      </c>
      <c r="H10" s="17">
        <v>99.778495788574219</v>
      </c>
      <c r="I10" s="17">
        <v>99.549293518066406</v>
      </c>
      <c r="J10" s="17">
        <v>91.205131530761719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81.306541442871094</v>
      </c>
      <c r="C11" s="17">
        <v>86.524581909179688</v>
      </c>
      <c r="D11" s="17">
        <v>96.294631958007813</v>
      </c>
      <c r="E11" s="17">
        <v>96.510635375976563</v>
      </c>
      <c r="F11" s="17">
        <v>62.264316558837891</v>
      </c>
      <c r="G11" s="17">
        <v>22.589345932006836</v>
      </c>
      <c r="H11" s="17">
        <v>2.301466703414917</v>
      </c>
      <c r="I11" s="17">
        <v>0</v>
      </c>
      <c r="J11" s="17">
        <v>65.360214233398438</v>
      </c>
      <c r="K11" s="17">
        <v>92.03466796875</v>
      </c>
      <c r="L11" s="17">
        <v>99.989547729492188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82.250274658203125</v>
      </c>
      <c r="C12" s="17">
        <v>80.371719360351563</v>
      </c>
      <c r="D12" s="17">
        <v>96.322616577148438</v>
      </c>
      <c r="E12" s="17">
        <v>96.380134582519531</v>
      </c>
      <c r="F12" s="17">
        <v>96.8592529296875</v>
      </c>
      <c r="G12" s="17">
        <v>99.300865173339844</v>
      </c>
      <c r="H12" s="17">
        <v>99.592689514160156</v>
      </c>
      <c r="I12" s="17">
        <v>99.634048461914063</v>
      </c>
      <c r="J12" s="17">
        <v>91.1444091796875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80.641487121582031</v>
      </c>
      <c r="C13" s="17">
        <v>84.955741882324219</v>
      </c>
      <c r="D13" s="17">
        <v>95.806709289550781</v>
      </c>
      <c r="E13" s="17">
        <v>96.194442749023438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89.645401000976563</v>
      </c>
      <c r="C14" s="17">
        <v>90.130264282226563</v>
      </c>
      <c r="D14" s="17">
        <v>93.47900390625</v>
      </c>
      <c r="E14" s="17">
        <v>94.008102416992188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203" priority="44" stopIfTrue="1" operator="containsText" text="fcd">
      <formula>NOT(ISERROR(SEARCH("fcd",A1)))</formula>
    </cfRule>
    <cfRule type="containsText" dxfId="202" priority="45" stopIfTrue="1" operator="containsText" text="server">
      <formula>NOT(ISERROR(SEARCH("server",A1)))</formula>
    </cfRule>
    <cfRule type="containsText" dxfId="201" priority="46" stopIfTrue="1" operator="containsText" text="ft">
      <formula>NOT(ISERROR(SEARCH("ft",A1)))</formula>
    </cfRule>
    <cfRule type="containsText" dxfId="200" priority="47" stopIfTrue="1" operator="containsText" text="lynxx_">
      <formula>NOT(ISERROR(SEARCH("lynxx_",A1)))</formula>
    </cfRule>
    <cfRule type="containsText" dxfId="199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98" priority="39" operator="equal">
      <formula>FALSE</formula>
    </cfRule>
  </conditionalFormatting>
  <conditionalFormatting sqref="T1:T3">
    <cfRule type="cellIs" dxfId="197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96" priority="36" operator="equal">
      <formula>FALSE</formula>
    </cfRule>
  </conditionalFormatting>
  <conditionalFormatting sqref="T4:T12">
    <cfRule type="cellIs" dxfId="195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194" priority="30" stopIfTrue="1" operator="containsText" text="fcd">
      <formula>NOT(ISERROR(SEARCH("fcd",A4)))</formula>
    </cfRule>
    <cfRule type="containsText" dxfId="193" priority="31" stopIfTrue="1" operator="containsText" text="server">
      <formula>NOT(ISERROR(SEARCH("server",A4)))</formula>
    </cfRule>
    <cfRule type="containsText" dxfId="192" priority="32" stopIfTrue="1" operator="containsText" text="ft">
      <formula>NOT(ISERROR(SEARCH("ft",A4)))</formula>
    </cfRule>
    <cfRule type="containsText" dxfId="191" priority="33" stopIfTrue="1" operator="containsText" text="lynxx_">
      <formula>NOT(ISERROR(SEARCH("lynxx_",A4)))</formula>
    </cfRule>
    <cfRule type="containsText" dxfId="19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89" priority="23" operator="equal">
      <formula>"N/A"</formula>
    </cfRule>
    <cfRule type="cellIs" dxfId="188" priority="24" operator="equal">
      <formula>"OK"</formula>
    </cfRule>
    <cfRule type="containsText" dxfId="187" priority="25" operator="containsText" text="Unsure">
      <formula>NOT(ISERROR(SEARCH("Unsure",J13)))</formula>
    </cfRule>
    <cfRule type="containsText" dxfId="186" priority="26" operator="containsText" text="Can't See">
      <formula>NOT(ISERROR(SEARCH("Can't See",J13)))</formula>
    </cfRule>
    <cfRule type="notContainsText" dxfId="18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84" priority="15" stopIfTrue="1" operator="containsText" text="fcd">
      <formula>NOT(ISERROR(SEARCH("fcd",A10)))</formula>
    </cfRule>
    <cfRule type="containsText" dxfId="183" priority="16" stopIfTrue="1" operator="containsText" text="server">
      <formula>NOT(ISERROR(SEARCH("server",A10)))</formula>
    </cfRule>
    <cfRule type="containsText" dxfId="182" priority="17" stopIfTrue="1" operator="containsText" text="ft">
      <formula>NOT(ISERROR(SEARCH("ft",A10)))</formula>
    </cfRule>
    <cfRule type="containsText" dxfId="181" priority="18" stopIfTrue="1" operator="containsText" text="lynxx_">
      <formula>NOT(ISERROR(SEARCH("lynxx_",A10)))</formula>
    </cfRule>
    <cfRule type="containsText" dxfId="18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179" priority="9" operator="equal">
      <formula>"N/A"</formula>
    </cfRule>
    <cfRule type="cellIs" dxfId="178" priority="10" operator="equal">
      <formula>"OK"</formula>
    </cfRule>
    <cfRule type="containsText" dxfId="177" priority="11" operator="containsText" text="Unsure">
      <formula>NOT(ISERROR(SEARCH("Unsure",J11)))</formula>
    </cfRule>
    <cfRule type="containsText" dxfId="176" priority="12" operator="containsText" text="Can't See">
      <formula>NOT(ISERROR(SEARCH("Can't See",J11)))</formula>
    </cfRule>
    <cfRule type="notContainsText" dxfId="17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174" priority="3" stopIfTrue="1" operator="containsText" text="fcd">
      <formula>NOT(ISERROR(SEARCH("fcd",A11)))</formula>
    </cfRule>
    <cfRule type="containsText" dxfId="173" priority="4" stopIfTrue="1" operator="containsText" text="server">
      <formula>NOT(ISERROR(SEARCH("server",A11)))</formula>
    </cfRule>
    <cfRule type="containsText" dxfId="172" priority="5" stopIfTrue="1" operator="containsText" text="ft">
      <formula>NOT(ISERROR(SEARCH("ft",A11)))</formula>
    </cfRule>
    <cfRule type="containsText" dxfId="171" priority="6" stopIfTrue="1" operator="containsText" text="lynxx_">
      <formula>NOT(ISERROR(SEARCH("lynxx_",A11)))</formula>
    </cfRule>
    <cfRule type="containsText" dxfId="17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C191-1D2D-4F71-B689-5E21535B59EA}">
  <dimension ref="A1:T14"/>
  <sheetViews>
    <sheetView zoomScaleNormal="100" workbookViewId="0">
      <selection activeCell="K27" sqref="K27"/>
    </sheetView>
  </sheetViews>
  <sheetFormatPr defaultRowHeight="14.5" x14ac:dyDescent="0.35"/>
  <cols>
    <col min="1" max="1" width="43.7265625" bestFit="1" customWidth="1"/>
    <col min="14" max="14" width="33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92.1748046875</v>
      </c>
      <c r="C4" s="17">
        <v>93.402030944824219</v>
      </c>
      <c r="D4" s="17">
        <v>96.267280578613281</v>
      </c>
      <c r="E4" s="17">
        <v>96.106529235839844</v>
      </c>
      <c r="F4" s="17">
        <v>96.138839721679688</v>
      </c>
      <c r="G4" s="17">
        <v>99.622024536132813</v>
      </c>
      <c r="H4" s="17">
        <v>99.715705871582031</v>
      </c>
      <c r="I4" s="17">
        <v>99.989204406738281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92.204277038574219</v>
      </c>
      <c r="C5" s="17">
        <v>93.426239013671875</v>
      </c>
      <c r="D5" s="17">
        <v>96.32696533203125</v>
      </c>
      <c r="E5" s="17">
        <v>96.245437622070313</v>
      </c>
      <c r="F5" s="17">
        <v>88.013191223144531</v>
      </c>
      <c r="G5" s="17">
        <v>99.50140380859375</v>
      </c>
      <c r="H5" s="17">
        <v>99.857574462890625</v>
      </c>
      <c r="I5" s="17">
        <v>99.994026184082031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92.206695556640625</v>
      </c>
      <c r="C6" s="17">
        <v>93.474136352539063</v>
      </c>
      <c r="D6" s="17">
        <v>96.307121276855469</v>
      </c>
      <c r="E6" s="17">
        <v>96.245437622070313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99.469039916992188</v>
      </c>
      <c r="K6" s="17">
        <v>99.790557861328125</v>
      </c>
      <c r="L6" s="17">
        <v>99.173614501953125</v>
      </c>
      <c r="M6" s="17">
        <v>94.575859069824219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0</v>
      </c>
    </row>
    <row r="7" spans="1:20" x14ac:dyDescent="0.35">
      <c r="A7" s="16" t="s">
        <v>23</v>
      </c>
      <c r="B7" s="17">
        <v>92.20733642578125</v>
      </c>
      <c r="C7" s="17">
        <v>93.4449462890625</v>
      </c>
      <c r="D7" s="17">
        <v>96.346656799316406</v>
      </c>
      <c r="E7" s="17">
        <v>96.245437622070313</v>
      </c>
      <c r="F7" s="17">
        <v>98.918014526367188</v>
      </c>
      <c r="G7" s="17">
        <v>99.916282653808594</v>
      </c>
      <c r="H7" s="17">
        <v>99.999832153320313</v>
      </c>
      <c r="I7" s="17">
        <v>99.99884033203125</v>
      </c>
      <c r="J7" s="17">
        <v>99.65625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92.234649658203125</v>
      </c>
      <c r="C8" s="17">
        <v>93.445526123046875</v>
      </c>
      <c r="D8" s="17">
        <v>96.287109375</v>
      </c>
      <c r="E8" s="17">
        <v>96.245414733886719</v>
      </c>
      <c r="F8" s="17">
        <v>98.474006652832031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91.35552978515625</v>
      </c>
      <c r="C9" s="17">
        <v>93.494010925292969</v>
      </c>
      <c r="D9" s="17">
        <v>96.278549194335938</v>
      </c>
      <c r="E9" s="17">
        <v>96.249847412109375</v>
      </c>
      <c r="F9" s="17">
        <v>95.405014038085938</v>
      </c>
      <c r="G9" s="17">
        <v>99.859420776367188</v>
      </c>
      <c r="H9" s="17">
        <v>99.787368774414063</v>
      </c>
      <c r="I9" s="17">
        <v>99.967559814453125</v>
      </c>
      <c r="J9" s="17">
        <v>98.024559020996094</v>
      </c>
      <c r="K9" s="17">
        <v>99.891822814941406</v>
      </c>
      <c r="L9" s="17">
        <v>99.876091003417969</v>
      </c>
      <c r="M9" s="17">
        <v>99.782241821289063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82.630073547363281</v>
      </c>
      <c r="C10" s="17">
        <v>86.544937133789063</v>
      </c>
      <c r="D10" s="17">
        <v>96.22735595703125</v>
      </c>
      <c r="E10" s="17">
        <v>96.248176574707031</v>
      </c>
      <c r="F10" s="17">
        <v>96.993583679199219</v>
      </c>
      <c r="G10" s="17">
        <v>99.777900695800781</v>
      </c>
      <c r="H10" s="17">
        <v>99.728630065917969</v>
      </c>
      <c r="I10" s="17">
        <v>99.649818420410156</v>
      </c>
      <c r="J10" s="17">
        <v>91.524620056152344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81.315750122070313</v>
      </c>
      <c r="C11" s="17">
        <v>86.52032470703125</v>
      </c>
      <c r="D11" s="17">
        <v>96.258872985839844</v>
      </c>
      <c r="E11" s="17">
        <v>96.198661804199219</v>
      </c>
      <c r="F11" s="17">
        <v>62.325202941894531</v>
      </c>
      <c r="G11" s="17">
        <v>21.901641845703125</v>
      </c>
      <c r="H11" s="17">
        <v>4.2877025604248047</v>
      </c>
      <c r="I11" s="17">
        <v>18.875097274780273</v>
      </c>
      <c r="J11" s="17">
        <v>65.679702758789063</v>
      </c>
      <c r="K11" s="17">
        <v>92.453300476074219</v>
      </c>
      <c r="L11" s="17">
        <v>99.999832153320313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82.273391723632813</v>
      </c>
      <c r="C12" s="17">
        <v>83.69061279296875</v>
      </c>
      <c r="D12" s="17">
        <v>96.303245544433594</v>
      </c>
      <c r="E12" s="17">
        <v>96.247817993164063</v>
      </c>
      <c r="F12" s="17">
        <v>96.856735229492188</v>
      </c>
      <c r="G12" s="17">
        <v>99.297721862792969</v>
      </c>
      <c r="H12" s="17">
        <v>99.481117248535156</v>
      </c>
      <c r="I12" s="17">
        <v>99.21783447265625</v>
      </c>
      <c r="J12" s="17">
        <v>91.465950012207031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80.723365783691406</v>
      </c>
      <c r="C13" s="17">
        <v>84.924888610839844</v>
      </c>
      <c r="D13" s="17">
        <v>95.691139221191406</v>
      </c>
      <c r="E13" s="17">
        <v>95.359954833984375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  <c r="S13" s="6"/>
      <c r="T13" s="24"/>
    </row>
    <row r="14" spans="1:20" x14ac:dyDescent="0.35">
      <c r="A14" s="16" t="s">
        <v>34</v>
      </c>
      <c r="B14" s="17">
        <v>89.722442626953125</v>
      </c>
      <c r="C14" s="17">
        <v>90.146194458007813</v>
      </c>
      <c r="D14" s="17">
        <v>93.364913940429688</v>
      </c>
      <c r="E14" s="17">
        <v>92.557868957519531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  <c r="S14" s="24"/>
      <c r="T14" s="24"/>
    </row>
  </sheetData>
  <conditionalFormatting sqref="B3:E3">
    <cfRule type="colorScale" priority="77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76" stopIfTrue="1">
      <formula>LEN(TRIM(A1))=0</formula>
    </cfRule>
    <cfRule type="containsText" dxfId="169" priority="78" stopIfTrue="1" operator="containsText" text="fcd">
      <formula>NOT(ISERROR(SEARCH("fcd",A1)))</formula>
    </cfRule>
    <cfRule type="containsText" dxfId="168" priority="79" stopIfTrue="1" operator="containsText" text="server">
      <formula>NOT(ISERROR(SEARCH("server",A1)))</formula>
    </cfRule>
    <cfRule type="containsText" dxfId="167" priority="80" stopIfTrue="1" operator="containsText" text="ft">
      <formula>NOT(ISERROR(SEARCH("ft",A1)))</formula>
    </cfRule>
    <cfRule type="containsText" dxfId="166" priority="81" stopIfTrue="1" operator="containsText" text="lynxx_">
      <formula>NOT(ISERROR(SEARCH("lynxx_",A1)))</formula>
    </cfRule>
    <cfRule type="containsText" dxfId="165" priority="82" operator="containsText" text="_">
      <formula>NOT(ISERROR(SEARCH("_",A1)))</formula>
    </cfRule>
  </conditionalFormatting>
  <conditionalFormatting sqref="F3:I3">
    <cfRule type="colorScale" priority="75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74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64" priority="73" operator="equal">
      <formula>FALSE</formula>
    </cfRule>
  </conditionalFormatting>
  <conditionalFormatting sqref="T1:T3">
    <cfRule type="cellIs" dxfId="163" priority="72" operator="equal">
      <formula>FALSE</formula>
    </cfRule>
  </conditionalFormatting>
  <conditionalFormatting sqref="O1:O2">
    <cfRule type="colorScale" priority="71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62" priority="70" operator="equal">
      <formula>FALSE</formula>
    </cfRule>
  </conditionalFormatting>
  <conditionalFormatting sqref="T4:T12">
    <cfRule type="cellIs" dxfId="161" priority="69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160" priority="30" stopIfTrue="1" operator="containsText" text="fcd">
      <formula>NOT(ISERROR(SEARCH("fcd",A4)))</formula>
    </cfRule>
    <cfRule type="containsText" dxfId="159" priority="31" stopIfTrue="1" operator="containsText" text="server">
      <formula>NOT(ISERROR(SEARCH("server",A4)))</formula>
    </cfRule>
    <cfRule type="containsText" dxfId="158" priority="32" stopIfTrue="1" operator="containsText" text="ft">
      <formula>NOT(ISERROR(SEARCH("ft",A4)))</formula>
    </cfRule>
    <cfRule type="containsText" dxfId="157" priority="33" stopIfTrue="1" operator="containsText" text="lynxx_">
      <formula>NOT(ISERROR(SEARCH("lynxx_",A4)))</formula>
    </cfRule>
    <cfRule type="containsText" dxfId="156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55" priority="23" operator="equal">
      <formula>"N/A"</formula>
    </cfRule>
    <cfRule type="cellIs" dxfId="154" priority="24" operator="equal">
      <formula>"OK"</formula>
    </cfRule>
    <cfRule type="containsText" dxfId="153" priority="25" operator="containsText" text="Unsure">
      <formula>NOT(ISERROR(SEARCH("Unsure",J13)))</formula>
    </cfRule>
    <cfRule type="containsText" dxfId="152" priority="26" operator="containsText" text="Can't See">
      <formula>NOT(ISERROR(SEARCH("Can't See",J13)))</formula>
    </cfRule>
    <cfRule type="notContainsText" dxfId="151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50" priority="15" stopIfTrue="1" operator="containsText" text="fcd">
      <formula>NOT(ISERROR(SEARCH("fcd",A10)))</formula>
    </cfRule>
    <cfRule type="containsText" dxfId="149" priority="16" stopIfTrue="1" operator="containsText" text="server">
      <formula>NOT(ISERROR(SEARCH("server",A10)))</formula>
    </cfRule>
    <cfRule type="containsText" dxfId="148" priority="17" stopIfTrue="1" operator="containsText" text="ft">
      <formula>NOT(ISERROR(SEARCH("ft",A10)))</formula>
    </cfRule>
    <cfRule type="containsText" dxfId="147" priority="18" stopIfTrue="1" operator="containsText" text="lynxx_">
      <formula>NOT(ISERROR(SEARCH("lynxx_",A10)))</formula>
    </cfRule>
    <cfRule type="containsText" dxfId="146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145" priority="9" operator="equal">
      <formula>"N/A"</formula>
    </cfRule>
    <cfRule type="cellIs" dxfId="144" priority="10" operator="equal">
      <formula>"OK"</formula>
    </cfRule>
    <cfRule type="containsText" dxfId="143" priority="11" operator="containsText" text="Unsure">
      <formula>NOT(ISERROR(SEARCH("Unsure",J11)))</formula>
    </cfRule>
    <cfRule type="containsText" dxfId="142" priority="12" operator="containsText" text="Can't See">
      <formula>NOT(ISERROR(SEARCH("Can't See",J11)))</formula>
    </cfRule>
    <cfRule type="notContainsText" dxfId="141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140" priority="3" stopIfTrue="1" operator="containsText" text="fcd">
      <formula>NOT(ISERROR(SEARCH("fcd",A11)))</formula>
    </cfRule>
    <cfRule type="containsText" dxfId="139" priority="4" stopIfTrue="1" operator="containsText" text="server">
      <formula>NOT(ISERROR(SEARCH("server",A11)))</formula>
    </cfRule>
    <cfRule type="containsText" dxfId="138" priority="5" stopIfTrue="1" operator="containsText" text="ft">
      <formula>NOT(ISERROR(SEARCH("ft",A11)))</formula>
    </cfRule>
    <cfRule type="containsText" dxfId="137" priority="6" stopIfTrue="1" operator="containsText" text="lynxx_">
      <formula>NOT(ISERROR(SEARCH("lynxx_",A11)))</formula>
    </cfRule>
    <cfRule type="containsText" dxfId="136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0C1AB-9F80-405A-B072-2451170968AC}">
  <dimension ref="A1:T14"/>
  <sheetViews>
    <sheetView workbookViewId="0">
      <selection activeCell="F22" sqref="F22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92.190528869628906</v>
      </c>
      <c r="C4" s="17">
        <v>95.155006408691406</v>
      </c>
      <c r="D4" s="17">
        <v>96.227989196777344</v>
      </c>
      <c r="E4" s="17">
        <v>96.248832702636719</v>
      </c>
      <c r="F4" s="17">
        <v>96.140022277832031</v>
      </c>
      <c r="G4" s="17">
        <v>99.622024536132813</v>
      </c>
      <c r="H4" s="17">
        <v>99.716392517089844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92.219573974609375</v>
      </c>
      <c r="C5" s="17">
        <v>95.179229736328125</v>
      </c>
      <c r="D5" s="17">
        <v>96.287628173828125</v>
      </c>
      <c r="E5" s="17">
        <v>96.248817443847656</v>
      </c>
      <c r="F5" s="17">
        <v>88.013191223144531</v>
      </c>
      <c r="G5" s="17">
        <v>99.50140380859375</v>
      </c>
      <c r="H5" s="17">
        <v>99.857574462890625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92.222007751464844</v>
      </c>
      <c r="C6" s="17">
        <v>95.227104187011719</v>
      </c>
      <c r="D6" s="17">
        <v>96.267784118652344</v>
      </c>
      <c r="E6" s="17">
        <v>96.248825073242188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99.469444274902344</v>
      </c>
      <c r="K6" s="17">
        <v>99.790557861328125</v>
      </c>
      <c r="L6" s="17">
        <v>99.173614501953125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92.222663879394531</v>
      </c>
      <c r="C7" s="17">
        <v>95.19305419921875</v>
      </c>
      <c r="D7" s="17">
        <v>96.307365417480469</v>
      </c>
      <c r="E7" s="17">
        <v>96.248832702636719</v>
      </c>
      <c r="F7" s="17">
        <v>98.918014526367188</v>
      </c>
      <c r="G7" s="17">
        <v>99.916282653808594</v>
      </c>
      <c r="H7" s="17">
        <v>99.999832153320313</v>
      </c>
      <c r="I7" s="17">
        <v>99.99884033203125</v>
      </c>
      <c r="J7" s="17">
        <v>99.656661987304688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92.251976013183594</v>
      </c>
      <c r="C8" s="17">
        <v>95.193679809570313</v>
      </c>
      <c r="D8" s="17">
        <v>96.247817993164063</v>
      </c>
      <c r="E8" s="17">
        <v>96.248825073242188</v>
      </c>
      <c r="F8" s="17">
        <v>98.474006652832031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91.461769104003906</v>
      </c>
      <c r="C9" s="17">
        <v>95.2420654296875</v>
      </c>
      <c r="D9" s="17">
        <v>96.278648376464844</v>
      </c>
      <c r="E9" s="17">
        <v>96.248947143554688</v>
      </c>
      <c r="F9" s="17">
        <v>95.405876159667969</v>
      </c>
      <c r="G9" s="17">
        <v>99.859092712402344</v>
      </c>
      <c r="H9" s="17">
        <v>99.785987854003906</v>
      </c>
      <c r="I9" s="17">
        <v>99.989212036132813</v>
      </c>
      <c r="J9" s="17">
        <v>98.0255126953125</v>
      </c>
      <c r="K9" s="17">
        <v>99.907615661621094</v>
      </c>
      <c r="L9" s="17">
        <v>99.876091003417969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82.65814208984375</v>
      </c>
      <c r="C10" s="17">
        <v>88.302490234375</v>
      </c>
      <c r="D10" s="17">
        <v>96.225967407226563</v>
      </c>
      <c r="E10" s="17">
        <v>96.377944946289063</v>
      </c>
      <c r="F10" s="17">
        <v>96.985427856445313</v>
      </c>
      <c r="G10" s="17">
        <v>99.739067077636719</v>
      </c>
      <c r="H10" s="17">
        <v>99.389480590820313</v>
      </c>
      <c r="I10" s="17">
        <v>97.40838623046875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81.3450927734375</v>
      </c>
      <c r="C11" s="17">
        <v>88.282127380371094</v>
      </c>
      <c r="D11" s="17">
        <v>96.283393859863281</v>
      </c>
      <c r="E11" s="17">
        <v>96.476699829101563</v>
      </c>
      <c r="F11" s="17">
        <v>62.304634094238281</v>
      </c>
      <c r="G11" s="17">
        <v>22.268829345703125</v>
      </c>
      <c r="H11" s="17">
        <v>4.1127619743347168</v>
      </c>
      <c r="I11" s="17">
        <v>9.9139518737792969</v>
      </c>
      <c r="J11" s="17">
        <v>65.998954772949219</v>
      </c>
      <c r="K11" s="17">
        <v>92.450637817382813</v>
      </c>
      <c r="L11" s="17">
        <v>99.989532470703125</v>
      </c>
      <c r="M11" s="17">
        <v>99.926750183105469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82.307136535644531</v>
      </c>
      <c r="C12" s="17">
        <v>87.019149780273438</v>
      </c>
      <c r="D12" s="17">
        <v>96.32403564453125</v>
      </c>
      <c r="E12" s="17">
        <v>96.527610778808594</v>
      </c>
      <c r="F12" s="17">
        <v>96.847244262695313</v>
      </c>
      <c r="G12" s="17">
        <v>99.214736938476563</v>
      </c>
      <c r="H12" s="17">
        <v>99.091842651367188</v>
      </c>
      <c r="I12" s="17">
        <v>97.056144714355469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80.787971496582031</v>
      </c>
      <c r="C13" s="17">
        <v>86.626838684082031</v>
      </c>
      <c r="D13" s="17">
        <v>95.64715576171875</v>
      </c>
      <c r="E13" s="17">
        <v>94.645835876464844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89.780418395996094</v>
      </c>
      <c r="C14" s="17">
        <v>91.940170288085938</v>
      </c>
      <c r="D14" s="17">
        <v>93.676094055175781</v>
      </c>
      <c r="E14" s="17">
        <v>94.634262084960938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35" priority="44" stopIfTrue="1" operator="containsText" text="fcd">
      <formula>NOT(ISERROR(SEARCH("fcd",A1)))</formula>
    </cfRule>
    <cfRule type="containsText" dxfId="134" priority="45" stopIfTrue="1" operator="containsText" text="server">
      <formula>NOT(ISERROR(SEARCH("server",A1)))</formula>
    </cfRule>
    <cfRule type="containsText" dxfId="133" priority="46" stopIfTrue="1" operator="containsText" text="ft">
      <formula>NOT(ISERROR(SEARCH("ft",A1)))</formula>
    </cfRule>
    <cfRule type="containsText" dxfId="132" priority="47" stopIfTrue="1" operator="containsText" text="lynxx_">
      <formula>NOT(ISERROR(SEARCH("lynxx_",A1)))</formula>
    </cfRule>
    <cfRule type="containsText" dxfId="131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30" priority="39" operator="equal">
      <formula>FALSE</formula>
    </cfRule>
  </conditionalFormatting>
  <conditionalFormatting sqref="T1:T3">
    <cfRule type="cellIs" dxfId="129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28" priority="36" operator="equal">
      <formula>FALSE</formula>
    </cfRule>
  </conditionalFormatting>
  <conditionalFormatting sqref="T4:T12">
    <cfRule type="cellIs" dxfId="127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99" priority="30" stopIfTrue="1" operator="containsText" text="fcd">
      <formula>NOT(ISERROR(SEARCH("fcd",A4)))</formula>
    </cfRule>
    <cfRule type="containsText" dxfId="98" priority="31" stopIfTrue="1" operator="containsText" text="server">
      <formula>NOT(ISERROR(SEARCH("server",A4)))</formula>
    </cfRule>
    <cfRule type="containsText" dxfId="97" priority="32" stopIfTrue="1" operator="containsText" text="ft">
      <formula>NOT(ISERROR(SEARCH("ft",A4)))</formula>
    </cfRule>
    <cfRule type="containsText" dxfId="96" priority="33" stopIfTrue="1" operator="containsText" text="lynxx_">
      <formula>NOT(ISERROR(SEARCH("lynxx_",A4)))</formula>
    </cfRule>
    <cfRule type="containsText" dxfId="95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94" priority="23" operator="equal">
      <formula>"N/A"</formula>
    </cfRule>
    <cfRule type="cellIs" dxfId="93" priority="24" operator="equal">
      <formula>"OK"</formula>
    </cfRule>
    <cfRule type="containsText" dxfId="92" priority="25" operator="containsText" text="Unsure">
      <formula>NOT(ISERROR(SEARCH("Unsure",J13)))</formula>
    </cfRule>
    <cfRule type="containsText" dxfId="91" priority="26" operator="containsText" text="Can't See">
      <formula>NOT(ISERROR(SEARCH("Can't See",J13)))</formula>
    </cfRule>
    <cfRule type="notContainsText" dxfId="90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89" priority="15" stopIfTrue="1" operator="containsText" text="fcd">
      <formula>NOT(ISERROR(SEARCH("fcd",A10)))</formula>
    </cfRule>
    <cfRule type="containsText" dxfId="88" priority="16" stopIfTrue="1" operator="containsText" text="server">
      <formula>NOT(ISERROR(SEARCH("server",A10)))</formula>
    </cfRule>
    <cfRule type="containsText" dxfId="87" priority="17" stopIfTrue="1" operator="containsText" text="ft">
      <formula>NOT(ISERROR(SEARCH("ft",A10)))</formula>
    </cfRule>
    <cfRule type="containsText" dxfId="86" priority="18" stopIfTrue="1" operator="containsText" text="lynxx_">
      <formula>NOT(ISERROR(SEARCH("lynxx_",A10)))</formula>
    </cfRule>
    <cfRule type="containsText" dxfId="85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84" priority="9" operator="equal">
      <formula>"N/A"</formula>
    </cfRule>
    <cfRule type="cellIs" dxfId="83" priority="10" operator="equal">
      <formula>"OK"</formula>
    </cfRule>
    <cfRule type="containsText" dxfId="82" priority="11" operator="containsText" text="Unsure">
      <formula>NOT(ISERROR(SEARCH("Unsure",J11)))</formula>
    </cfRule>
    <cfRule type="containsText" dxfId="81" priority="12" operator="containsText" text="Can't See">
      <formula>NOT(ISERROR(SEARCH("Can't See",J11)))</formula>
    </cfRule>
    <cfRule type="notContainsText" dxfId="80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79" priority="3" stopIfTrue="1" operator="containsText" text="fcd">
      <formula>NOT(ISERROR(SEARCH("fcd",A11)))</formula>
    </cfRule>
    <cfRule type="containsText" dxfId="78" priority="4" stopIfTrue="1" operator="containsText" text="server">
      <formula>NOT(ISERROR(SEARCH("server",A11)))</formula>
    </cfRule>
    <cfRule type="containsText" dxfId="77" priority="5" stopIfTrue="1" operator="containsText" text="ft">
      <formula>NOT(ISERROR(SEARCH("ft",A11)))</formula>
    </cfRule>
    <cfRule type="containsText" dxfId="76" priority="6" stopIfTrue="1" operator="containsText" text="lynxx_">
      <formula>NOT(ISERROR(SEARCH("lynxx_",A11)))</formula>
    </cfRule>
    <cfRule type="containsText" dxfId="75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E6470-FCC4-4C19-994C-00452CCEE167}">
  <dimension ref="A1:T14"/>
  <sheetViews>
    <sheetView workbookViewId="0">
      <selection activeCell="F19" sqref="F19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1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92.191337585449219</v>
      </c>
      <c r="C4" s="17">
        <v>95.519546508789063</v>
      </c>
      <c r="D4" s="17">
        <v>96.267822265625</v>
      </c>
      <c r="E4" s="17">
        <v>96.527023315429688</v>
      </c>
      <c r="F4" s="17">
        <v>96.160438537597656</v>
      </c>
      <c r="G4" s="17">
        <v>99.622024536132813</v>
      </c>
      <c r="H4" s="17">
        <v>99.913925170898438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92.220390319824219</v>
      </c>
      <c r="C5" s="17">
        <v>95.524452209472656</v>
      </c>
      <c r="D5" s="17">
        <v>96.307594299316406</v>
      </c>
      <c r="E5" s="17">
        <v>96.526992797851563</v>
      </c>
      <c r="F5" s="17">
        <v>88.013206481933594</v>
      </c>
      <c r="G5" s="17">
        <v>99.50140380859375</v>
      </c>
      <c r="H5" s="17">
        <v>99.857574462890625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92.222412109375</v>
      </c>
      <c r="C6" s="17">
        <v>95.567535400390625</v>
      </c>
      <c r="D6" s="17">
        <v>96.307594299316406</v>
      </c>
      <c r="E6" s="17">
        <v>96.526992797851563</v>
      </c>
      <c r="F6" s="17">
        <v>99.853797912597656</v>
      </c>
      <c r="G6" s="17">
        <v>99.913047790527344</v>
      </c>
      <c r="H6" s="17">
        <v>99.992271423339844</v>
      </c>
      <c r="I6" s="17">
        <v>99.99884033203125</v>
      </c>
      <c r="J6" s="17">
        <v>99.469444274902344</v>
      </c>
      <c r="K6" s="17">
        <v>99.790557861328125</v>
      </c>
      <c r="L6" s="17">
        <v>99.173614501953125</v>
      </c>
      <c r="M6" s="17">
        <v>99.99884033203125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92.223068237304688</v>
      </c>
      <c r="C7" s="17">
        <v>95.548088073730469</v>
      </c>
      <c r="D7" s="17">
        <v>96.327362060546875</v>
      </c>
      <c r="E7" s="17">
        <v>96.52703857421875</v>
      </c>
      <c r="F7" s="17">
        <v>98.918014526367188</v>
      </c>
      <c r="G7" s="17">
        <v>99.915786743164063</v>
      </c>
      <c r="H7" s="17">
        <v>99.997779846191406</v>
      </c>
      <c r="I7" s="17">
        <v>99.984443664550781</v>
      </c>
      <c r="J7" s="17">
        <v>99.656661987304688</v>
      </c>
      <c r="K7" s="17">
        <v>99.97515869140625</v>
      </c>
      <c r="L7" s="17">
        <v>99.999832153320313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92.252395629882813</v>
      </c>
      <c r="C8" s="17">
        <v>95.5147705078125</v>
      </c>
      <c r="D8" s="17">
        <v>96.28765869140625</v>
      </c>
      <c r="E8" s="17">
        <v>96.527023315429688</v>
      </c>
      <c r="F8" s="17">
        <v>98.524497985839844</v>
      </c>
      <c r="G8" s="17">
        <v>99.795379638671875</v>
      </c>
      <c r="H8" s="17">
        <v>99.999832153320313</v>
      </c>
      <c r="I8" s="17">
        <v>99.99884033203125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91.462173461914063</v>
      </c>
      <c r="C9" s="17">
        <v>95.548667907714844</v>
      </c>
      <c r="D9" s="17">
        <v>96.318382263183594</v>
      </c>
      <c r="E9" s="17">
        <v>96.526618957519531</v>
      </c>
      <c r="F9" s="17">
        <v>95.405876159667969</v>
      </c>
      <c r="G9" s="17">
        <v>99.859092712402344</v>
      </c>
      <c r="H9" s="17">
        <v>99.785987854003906</v>
      </c>
      <c r="I9" s="17">
        <v>99.99884033203125</v>
      </c>
      <c r="J9" s="17">
        <v>98.034469604492188</v>
      </c>
      <c r="K9" s="17">
        <v>99.905136108398438</v>
      </c>
      <c r="L9" s="17">
        <v>99.855522155761719</v>
      </c>
      <c r="M9" s="17">
        <v>99.854850769042969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82.659759521484375</v>
      </c>
      <c r="C10" s="17">
        <v>88.633781433105469</v>
      </c>
      <c r="D10" s="17">
        <v>96.2249755859375</v>
      </c>
      <c r="E10" s="17">
        <v>96.379013061523438</v>
      </c>
      <c r="F10" s="17">
        <v>96.98492431640625</v>
      </c>
      <c r="G10" s="17">
        <v>99.74273681640625</v>
      </c>
      <c r="H10" s="17">
        <v>99.366996765136719</v>
      </c>
      <c r="I10" s="17">
        <v>99.841453552246094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81.346115112304688</v>
      </c>
      <c r="C11" s="17">
        <v>88.641044616699219</v>
      </c>
      <c r="D11" s="17">
        <v>96.314300537109375</v>
      </c>
      <c r="E11" s="17">
        <v>96.52081298828125</v>
      </c>
      <c r="F11" s="17">
        <v>62.240829467773438</v>
      </c>
      <c r="G11" s="17">
        <v>22.789243698120117</v>
      </c>
      <c r="H11" s="17">
        <v>6.1200728416442871</v>
      </c>
      <c r="I11" s="17">
        <v>14.051036834716797</v>
      </c>
      <c r="J11" s="17">
        <v>66.318443298339844</v>
      </c>
      <c r="K11" s="17">
        <v>92.450637817382813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82.307945251464844</v>
      </c>
      <c r="C12" s="17">
        <v>89.011741638183594</v>
      </c>
      <c r="D12" s="17">
        <v>96.343917846679688</v>
      </c>
      <c r="E12" s="17">
        <v>96.520729064941406</v>
      </c>
      <c r="F12" s="17">
        <v>96.845176696777344</v>
      </c>
      <c r="G12" s="17">
        <v>99.227317810058594</v>
      </c>
      <c r="H12" s="17">
        <v>99.000289916992188</v>
      </c>
      <c r="I12" s="17">
        <v>99.358001708984375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80.777061462402344</v>
      </c>
      <c r="C13" s="17">
        <v>87.435142517089844</v>
      </c>
      <c r="D13" s="17">
        <v>95.556053161621094</v>
      </c>
      <c r="E13" s="17">
        <v>95.538192749023438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89.776435852050781</v>
      </c>
      <c r="C14" s="17">
        <v>92.789871215820313</v>
      </c>
      <c r="D14" s="17">
        <v>93.71246337890625</v>
      </c>
      <c r="E14" s="17">
        <v>94.262733459472656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26" priority="44" stopIfTrue="1" operator="containsText" text="fcd">
      <formula>NOT(ISERROR(SEARCH("fcd",A1)))</formula>
    </cfRule>
    <cfRule type="containsText" dxfId="125" priority="45" stopIfTrue="1" operator="containsText" text="server">
      <formula>NOT(ISERROR(SEARCH("server",A1)))</formula>
    </cfRule>
    <cfRule type="containsText" dxfId="124" priority="46" stopIfTrue="1" operator="containsText" text="ft">
      <formula>NOT(ISERROR(SEARCH("ft",A1)))</formula>
    </cfRule>
    <cfRule type="containsText" dxfId="123" priority="47" stopIfTrue="1" operator="containsText" text="lynxx_">
      <formula>NOT(ISERROR(SEARCH("lynxx_",A1)))</formula>
    </cfRule>
    <cfRule type="containsText" dxfId="122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21" priority="39" operator="equal">
      <formula>FALSE</formula>
    </cfRule>
  </conditionalFormatting>
  <conditionalFormatting sqref="T1:T3">
    <cfRule type="cellIs" dxfId="120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19" priority="36" operator="equal">
      <formula>FALSE</formula>
    </cfRule>
  </conditionalFormatting>
  <conditionalFormatting sqref="T4:T12">
    <cfRule type="cellIs" dxfId="118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74" priority="30" stopIfTrue="1" operator="containsText" text="fcd">
      <formula>NOT(ISERROR(SEARCH("fcd",A4)))</formula>
    </cfRule>
    <cfRule type="containsText" dxfId="73" priority="31" stopIfTrue="1" operator="containsText" text="server">
      <formula>NOT(ISERROR(SEARCH("server",A4)))</formula>
    </cfRule>
    <cfRule type="containsText" dxfId="72" priority="32" stopIfTrue="1" operator="containsText" text="ft">
      <formula>NOT(ISERROR(SEARCH("ft",A4)))</formula>
    </cfRule>
    <cfRule type="containsText" dxfId="71" priority="33" stopIfTrue="1" operator="containsText" text="lynxx_">
      <formula>NOT(ISERROR(SEARCH("lynxx_",A4)))</formula>
    </cfRule>
    <cfRule type="containsText" dxfId="7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69" priority="23" operator="equal">
      <formula>"N/A"</formula>
    </cfRule>
    <cfRule type="cellIs" dxfId="68" priority="24" operator="equal">
      <formula>"OK"</formula>
    </cfRule>
    <cfRule type="containsText" dxfId="67" priority="25" operator="containsText" text="Unsure">
      <formula>NOT(ISERROR(SEARCH("Unsure",J13)))</formula>
    </cfRule>
    <cfRule type="containsText" dxfId="66" priority="26" operator="containsText" text="Can't See">
      <formula>NOT(ISERROR(SEARCH("Can't See",J13)))</formula>
    </cfRule>
    <cfRule type="notContainsText" dxfId="6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64" priority="15" stopIfTrue="1" operator="containsText" text="fcd">
      <formula>NOT(ISERROR(SEARCH("fcd",A10)))</formula>
    </cfRule>
    <cfRule type="containsText" dxfId="63" priority="16" stopIfTrue="1" operator="containsText" text="server">
      <formula>NOT(ISERROR(SEARCH("server",A10)))</formula>
    </cfRule>
    <cfRule type="containsText" dxfId="62" priority="17" stopIfTrue="1" operator="containsText" text="ft">
      <formula>NOT(ISERROR(SEARCH("ft",A10)))</formula>
    </cfRule>
    <cfRule type="containsText" dxfId="61" priority="18" stopIfTrue="1" operator="containsText" text="lynxx_">
      <formula>NOT(ISERROR(SEARCH("lynxx_",A10)))</formula>
    </cfRule>
    <cfRule type="containsText" dxfId="6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59" priority="9" operator="equal">
      <formula>"N/A"</formula>
    </cfRule>
    <cfRule type="cellIs" dxfId="58" priority="10" operator="equal">
      <formula>"OK"</formula>
    </cfRule>
    <cfRule type="containsText" dxfId="57" priority="11" operator="containsText" text="Unsure">
      <formula>NOT(ISERROR(SEARCH("Unsure",J11)))</formula>
    </cfRule>
    <cfRule type="containsText" dxfId="56" priority="12" operator="containsText" text="Can't See">
      <formula>NOT(ISERROR(SEARCH("Can't See",J11)))</formula>
    </cfRule>
    <cfRule type="notContainsText" dxfId="5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54" priority="3" stopIfTrue="1" operator="containsText" text="fcd">
      <formula>NOT(ISERROR(SEARCH("fcd",A11)))</formula>
    </cfRule>
    <cfRule type="containsText" dxfId="53" priority="4" stopIfTrue="1" operator="containsText" text="server">
      <formula>NOT(ISERROR(SEARCH("server",A11)))</formula>
    </cfRule>
    <cfRule type="containsText" dxfId="52" priority="5" stopIfTrue="1" operator="containsText" text="ft">
      <formula>NOT(ISERROR(SEARCH("ft",A11)))</formula>
    </cfRule>
    <cfRule type="containsText" dxfId="51" priority="6" stopIfTrue="1" operator="containsText" text="lynxx_">
      <formula>NOT(ISERROR(SEARCH("lynxx_",A11)))</formula>
    </cfRule>
    <cfRule type="containsText" dxfId="5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FC06E-1C10-4559-9543-366B0501BB09}">
  <dimension ref="A1:T14"/>
  <sheetViews>
    <sheetView workbookViewId="0">
      <selection activeCell="A4" sqref="A4:R14"/>
    </sheetView>
  </sheetViews>
  <sheetFormatPr defaultRowHeight="14.5" x14ac:dyDescent="0.35"/>
  <cols>
    <col min="14" max="14" width="32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92.204612731933594</v>
      </c>
      <c r="C4" s="17">
        <v>95.524253845214844</v>
      </c>
      <c r="D4" s="17">
        <v>96.267654418945313</v>
      </c>
      <c r="E4" s="17">
        <v>96.247642517089844</v>
      </c>
      <c r="F4" s="17">
        <v>96.160438537597656</v>
      </c>
      <c r="G4" s="17">
        <v>99.622848510742188</v>
      </c>
      <c r="H4" s="17">
        <v>99.9173583984375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92.234077453613281</v>
      </c>
      <c r="C5" s="17">
        <v>95.529167175292969</v>
      </c>
      <c r="D5" s="17">
        <v>96.327232360839844</v>
      </c>
      <c r="E5" s="17">
        <v>96.386528015136719</v>
      </c>
      <c r="F5" s="17">
        <v>88.012214660644531</v>
      </c>
      <c r="G5" s="17">
        <v>99.490806579589844</v>
      </c>
      <c r="H5" s="17">
        <v>99.809532165527344</v>
      </c>
      <c r="I5" s="17">
        <v>99.662559509277344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92.235694885253906</v>
      </c>
      <c r="C6" s="17">
        <v>95.572242736816406</v>
      </c>
      <c r="D6" s="17">
        <v>96.307388305664063</v>
      </c>
      <c r="E6" s="17">
        <v>96.247627258300781</v>
      </c>
      <c r="F6" s="17">
        <v>99.853797912597656</v>
      </c>
      <c r="G6" s="17">
        <v>99.913047790527344</v>
      </c>
      <c r="H6" s="17">
        <v>99.999832153320313</v>
      </c>
      <c r="I6" s="17">
        <v>99.99884033203125</v>
      </c>
      <c r="J6" s="17">
        <v>99.46881103515625</v>
      </c>
      <c r="K6" s="17">
        <v>99.793067932128906</v>
      </c>
      <c r="L6" s="17">
        <v>99.142715454101563</v>
      </c>
      <c r="M6" s="17">
        <v>99.782554626464844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1</v>
      </c>
    </row>
    <row r="7" spans="1:20" x14ac:dyDescent="0.35">
      <c r="A7" s="16" t="s">
        <v>23</v>
      </c>
      <c r="B7" s="17">
        <v>92.237152099609375</v>
      </c>
      <c r="C7" s="17">
        <v>95.557655334472656</v>
      </c>
      <c r="D7" s="17">
        <v>96.366867065429688</v>
      </c>
      <c r="E7" s="17">
        <v>96.525428771972656</v>
      </c>
      <c r="F7" s="17">
        <v>98.918014526367188</v>
      </c>
      <c r="G7" s="17">
        <v>99.916282653808594</v>
      </c>
      <c r="H7" s="17">
        <v>99.997779846191406</v>
      </c>
      <c r="I7" s="17">
        <v>99.99884033203125</v>
      </c>
      <c r="J7" s="17">
        <v>99.618629455566406</v>
      </c>
      <c r="K7" s="17">
        <v>99.47296142578125</v>
      </c>
      <c r="L7" s="17">
        <v>97.908981323242188</v>
      </c>
      <c r="M7" s="17">
        <v>85.363029479980469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0</v>
      </c>
    </row>
    <row r="8" spans="1:20" x14ac:dyDescent="0.35">
      <c r="A8" s="6" t="s">
        <v>24</v>
      </c>
      <c r="B8" s="17">
        <v>92.266075134277344</v>
      </c>
      <c r="C8" s="17">
        <v>95.524406433105469</v>
      </c>
      <c r="D8" s="17">
        <v>96.307327270507813</v>
      </c>
      <c r="E8" s="17">
        <v>96.386528015136719</v>
      </c>
      <c r="F8" s="17">
        <v>98.577224731445313</v>
      </c>
      <c r="G8" s="17">
        <v>99.794548034667969</v>
      </c>
      <c r="H8" s="17">
        <v>99.996406555175781</v>
      </c>
      <c r="I8" s="17">
        <v>99.974822998046875</v>
      </c>
      <c r="J8" s="17">
        <v>99.887245178222656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91.47576904296875</v>
      </c>
      <c r="C9" s="17">
        <v>95.552253723144531</v>
      </c>
      <c r="D9" s="17">
        <v>96.333229064941406</v>
      </c>
      <c r="E9" s="17">
        <v>96.353919982910156</v>
      </c>
      <c r="F9" s="17">
        <v>95.406898498535156</v>
      </c>
      <c r="G9" s="17">
        <v>99.857429504394531</v>
      </c>
      <c r="H9" s="17">
        <v>99.779121398925781</v>
      </c>
      <c r="I9" s="17">
        <v>99.950759887695313</v>
      </c>
      <c r="J9" s="17">
        <v>98.036537170410156</v>
      </c>
      <c r="K9" s="17">
        <v>99.907630920410156</v>
      </c>
      <c r="L9" s="17">
        <v>99.876167297363281</v>
      </c>
      <c r="M9" s="17">
        <v>99.926742553710938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82.673881530761719</v>
      </c>
      <c r="C10" s="17">
        <v>88.643241882324219</v>
      </c>
      <c r="D10" s="17">
        <v>96.3433837890625</v>
      </c>
      <c r="E10" s="17">
        <v>96.522361755371094</v>
      </c>
      <c r="F10" s="17">
        <v>96.983650207519531</v>
      </c>
      <c r="G10" s="17">
        <v>99.7264404296875</v>
      </c>
      <c r="H10" s="17">
        <v>99.344383239746094</v>
      </c>
      <c r="I10" s="17">
        <v>99.527359008789063</v>
      </c>
      <c r="J10" s="17">
        <v>91.688705444335938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81.445152282714844</v>
      </c>
      <c r="C11" s="17">
        <v>88.655570983886719</v>
      </c>
      <c r="D11" s="17">
        <v>96.330574035644531</v>
      </c>
      <c r="E11" s="17">
        <v>96.313621520996094</v>
      </c>
      <c r="F11" s="17">
        <v>62.232089996337891</v>
      </c>
      <c r="G11" s="17">
        <v>22.998550415039063</v>
      </c>
      <c r="H11" s="17">
        <v>9.0292520523071289</v>
      </c>
      <c r="I11" s="17">
        <v>20.364053726196289</v>
      </c>
      <c r="J11" s="17">
        <v>66.637939453125</v>
      </c>
      <c r="K11" s="17">
        <v>92.849777221679688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82.321670532226563</v>
      </c>
      <c r="C12" s="17">
        <v>89.0167236328125</v>
      </c>
      <c r="D12" s="17">
        <v>96.3638916015625</v>
      </c>
      <c r="E12" s="17">
        <v>96.384262084960938</v>
      </c>
      <c r="F12" s="17">
        <v>96.843742370605469</v>
      </c>
      <c r="G12" s="17">
        <v>99.250350952148438</v>
      </c>
      <c r="H12" s="17">
        <v>98.99371337890625</v>
      </c>
      <c r="I12" s="17">
        <v>99.554542541503906</v>
      </c>
      <c r="J12" s="17">
        <v>91.635299682617188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80.764739990234375</v>
      </c>
      <c r="C13" s="17">
        <v>87.445602416992188</v>
      </c>
      <c r="D13" s="17">
        <v>95.469573974609375</v>
      </c>
      <c r="E13" s="17">
        <v>95.747688293457031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89.788177490234375</v>
      </c>
      <c r="C14" s="17">
        <v>92.828781127929688</v>
      </c>
      <c r="D14" s="17">
        <v>93.975028991699219</v>
      </c>
      <c r="E14" s="17">
        <v>94.947914123535156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17" priority="44" stopIfTrue="1" operator="containsText" text="fcd">
      <formula>NOT(ISERROR(SEARCH("fcd",A1)))</formula>
    </cfRule>
    <cfRule type="containsText" dxfId="116" priority="45" stopIfTrue="1" operator="containsText" text="server">
      <formula>NOT(ISERROR(SEARCH("server",A1)))</formula>
    </cfRule>
    <cfRule type="containsText" dxfId="115" priority="46" stopIfTrue="1" operator="containsText" text="ft">
      <formula>NOT(ISERROR(SEARCH("ft",A1)))</formula>
    </cfRule>
    <cfRule type="containsText" dxfId="114" priority="47" stopIfTrue="1" operator="containsText" text="lynxx_">
      <formula>NOT(ISERROR(SEARCH("lynxx_",A1)))</formula>
    </cfRule>
    <cfRule type="containsText" dxfId="113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12" priority="39" operator="equal">
      <formula>FALSE</formula>
    </cfRule>
  </conditionalFormatting>
  <conditionalFormatting sqref="T1:T3">
    <cfRule type="cellIs" dxfId="111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10" priority="36" operator="equal">
      <formula>FALSE</formula>
    </cfRule>
  </conditionalFormatting>
  <conditionalFormatting sqref="T4:T12">
    <cfRule type="cellIs" dxfId="109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49" priority="30" stopIfTrue="1" operator="containsText" text="fcd">
      <formula>NOT(ISERROR(SEARCH("fcd",A4)))</formula>
    </cfRule>
    <cfRule type="containsText" dxfId="48" priority="31" stopIfTrue="1" operator="containsText" text="server">
      <formula>NOT(ISERROR(SEARCH("server",A4)))</formula>
    </cfRule>
    <cfRule type="containsText" dxfId="47" priority="32" stopIfTrue="1" operator="containsText" text="ft">
      <formula>NOT(ISERROR(SEARCH("ft",A4)))</formula>
    </cfRule>
    <cfRule type="containsText" dxfId="46" priority="33" stopIfTrue="1" operator="containsText" text="lynxx_">
      <formula>NOT(ISERROR(SEARCH("lynxx_",A4)))</formula>
    </cfRule>
    <cfRule type="containsText" dxfId="45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44" priority="23" operator="equal">
      <formula>"N/A"</formula>
    </cfRule>
    <cfRule type="cellIs" dxfId="43" priority="24" operator="equal">
      <formula>"OK"</formula>
    </cfRule>
    <cfRule type="containsText" dxfId="42" priority="25" operator="containsText" text="Unsure">
      <formula>NOT(ISERROR(SEARCH("Unsure",J13)))</formula>
    </cfRule>
    <cfRule type="containsText" dxfId="41" priority="26" operator="containsText" text="Can't See">
      <formula>NOT(ISERROR(SEARCH("Can't See",J13)))</formula>
    </cfRule>
    <cfRule type="notContainsText" dxfId="40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39" priority="15" stopIfTrue="1" operator="containsText" text="fcd">
      <formula>NOT(ISERROR(SEARCH("fcd",A10)))</formula>
    </cfRule>
    <cfRule type="containsText" dxfId="38" priority="16" stopIfTrue="1" operator="containsText" text="server">
      <formula>NOT(ISERROR(SEARCH("server",A10)))</formula>
    </cfRule>
    <cfRule type="containsText" dxfId="37" priority="17" stopIfTrue="1" operator="containsText" text="ft">
      <formula>NOT(ISERROR(SEARCH("ft",A10)))</formula>
    </cfRule>
    <cfRule type="containsText" dxfId="36" priority="18" stopIfTrue="1" operator="containsText" text="lynxx_">
      <formula>NOT(ISERROR(SEARCH("lynxx_",A10)))</formula>
    </cfRule>
    <cfRule type="containsText" dxfId="35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34" priority="9" operator="equal">
      <formula>"N/A"</formula>
    </cfRule>
    <cfRule type="cellIs" dxfId="33" priority="10" operator="equal">
      <formula>"OK"</formula>
    </cfRule>
    <cfRule type="containsText" dxfId="32" priority="11" operator="containsText" text="Unsure">
      <formula>NOT(ISERROR(SEARCH("Unsure",J11)))</formula>
    </cfRule>
    <cfRule type="containsText" dxfId="31" priority="12" operator="containsText" text="Can't See">
      <formula>NOT(ISERROR(SEARCH("Can't See",J11)))</formula>
    </cfRule>
    <cfRule type="notContainsText" dxfId="30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29" priority="3" stopIfTrue="1" operator="containsText" text="fcd">
      <formula>NOT(ISERROR(SEARCH("fcd",A11)))</formula>
    </cfRule>
    <cfRule type="containsText" dxfId="28" priority="4" stopIfTrue="1" operator="containsText" text="server">
      <formula>NOT(ISERROR(SEARCH("server",A11)))</formula>
    </cfRule>
    <cfRule type="containsText" dxfId="27" priority="5" stopIfTrue="1" operator="containsText" text="ft">
      <formula>NOT(ISERROR(SEARCH("ft",A11)))</formula>
    </cfRule>
    <cfRule type="containsText" dxfId="26" priority="6" stopIfTrue="1" operator="containsText" text="lynxx_">
      <formula>NOT(ISERROR(SEARCH("lynxx_",A11)))</formula>
    </cfRule>
    <cfRule type="containsText" dxfId="25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47016-7656-4532-AC59-2B10C9AB5417}">
  <dimension ref="A1:T14"/>
  <sheetViews>
    <sheetView tabSelected="1" workbookViewId="0">
      <selection activeCell="M19" sqref="M19"/>
    </sheetView>
  </sheetViews>
  <sheetFormatPr defaultRowHeight="14.5" x14ac:dyDescent="0.35"/>
  <cols>
    <col min="14" max="14" width="32" bestFit="1" customWidth="1"/>
    <col min="15" max="15" width="10.453125" bestFit="1" customWidth="1"/>
  </cols>
  <sheetData>
    <row r="1" spans="1:20" ht="21" x14ac:dyDescent="0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</v>
      </c>
      <c r="O1" s="4">
        <f>SUMIF(S4:S12,TRUE,Q4:Q12)/SUM(Q4:Q12)</f>
        <v>1</v>
      </c>
      <c r="P1" s="5"/>
      <c r="Q1" s="2">
        <v>85</v>
      </c>
      <c r="R1" s="2">
        <v>95</v>
      </c>
      <c r="S1" s="2">
        <v>95</v>
      </c>
      <c r="T1" s="2"/>
    </row>
    <row r="2" spans="1:20" ht="21" x14ac:dyDescent="0.5">
      <c r="A2" s="7"/>
      <c r="B2" s="7"/>
      <c r="C2" s="7"/>
      <c r="D2" s="7" t="s">
        <v>2</v>
      </c>
      <c r="E2" s="7"/>
      <c r="F2" s="7"/>
      <c r="G2" s="7"/>
      <c r="H2" s="7" t="s">
        <v>3</v>
      </c>
      <c r="I2" s="7"/>
      <c r="J2" s="7"/>
      <c r="K2" s="7"/>
      <c r="L2" s="7" t="s">
        <v>4</v>
      </c>
      <c r="M2" s="7"/>
      <c r="N2" s="3" t="s">
        <v>5</v>
      </c>
      <c r="O2" s="4">
        <f>SUMIF(T4:T12,TRUE,Q4:Q12)/SUM(Q4:Q12)</f>
        <v>0.875</v>
      </c>
      <c r="P2" s="8"/>
      <c r="Q2" s="9" t="s">
        <v>6</v>
      </c>
      <c r="R2" s="10"/>
      <c r="S2" s="11"/>
      <c r="T2" s="11"/>
    </row>
    <row r="3" spans="1:20" x14ac:dyDescent="0.35">
      <c r="A3" s="12" t="s">
        <v>7</v>
      </c>
      <c r="B3" s="13" t="s">
        <v>8</v>
      </c>
      <c r="C3" s="13" t="s">
        <v>9</v>
      </c>
      <c r="D3" s="13" t="s">
        <v>10</v>
      </c>
      <c r="E3" s="13" t="s">
        <v>11</v>
      </c>
      <c r="F3" s="13" t="s">
        <v>8</v>
      </c>
      <c r="G3" s="13" t="s">
        <v>9</v>
      </c>
      <c r="H3" s="13" t="s">
        <v>10</v>
      </c>
      <c r="I3" s="13" t="s">
        <v>11</v>
      </c>
      <c r="J3" s="13" t="s">
        <v>8</v>
      </c>
      <c r="K3" s="13" t="s">
        <v>9</v>
      </c>
      <c r="L3" s="13" t="s">
        <v>10</v>
      </c>
      <c r="M3" s="13" t="s">
        <v>11</v>
      </c>
      <c r="N3" s="13" t="s">
        <v>12</v>
      </c>
      <c r="O3" s="12" t="s">
        <v>13</v>
      </c>
      <c r="P3" s="14" t="s">
        <v>14</v>
      </c>
      <c r="Q3" s="15" t="s">
        <v>15</v>
      </c>
      <c r="R3" s="15" t="s">
        <v>16</v>
      </c>
      <c r="S3" s="13" t="s">
        <v>17</v>
      </c>
      <c r="T3" s="13" t="s">
        <v>18</v>
      </c>
    </row>
    <row r="4" spans="1:20" x14ac:dyDescent="0.35">
      <c r="A4" s="16" t="s">
        <v>19</v>
      </c>
      <c r="B4" s="17">
        <v>92.216690063476563</v>
      </c>
      <c r="C4" s="17">
        <v>95.490623474121094</v>
      </c>
      <c r="D4" s="17">
        <v>96.247306823730469</v>
      </c>
      <c r="E4" s="17">
        <v>96.107147216796875</v>
      </c>
      <c r="F4" s="17">
        <v>96.182823181152344</v>
      </c>
      <c r="G4" s="17">
        <v>99.622848510742188</v>
      </c>
      <c r="H4" s="17">
        <v>99.998458862304688</v>
      </c>
      <c r="I4" s="17">
        <v>99.99884033203125</v>
      </c>
      <c r="J4" s="17">
        <v>100</v>
      </c>
      <c r="K4" s="17">
        <v>99.999961853027344</v>
      </c>
      <c r="L4" s="17">
        <v>99.999832153320313</v>
      </c>
      <c r="M4" s="17">
        <v>99.99884033203125</v>
      </c>
      <c r="N4" s="18"/>
      <c r="O4" s="6"/>
      <c r="P4" s="19"/>
      <c r="Q4" s="20">
        <v>1</v>
      </c>
      <c r="R4" s="6" t="s">
        <v>20</v>
      </c>
      <c r="S4" s="6" t="b">
        <f t="shared" ref="S4:T12" si="0">NOT(OR((D4&lt;=$Q$1),(H4&lt;=$R$1),(L4&lt;=$S$1)))</f>
        <v>1</v>
      </c>
      <c r="T4" s="6" t="b">
        <f>NOT(OR((E4&lt;=$Q$1),(I4&lt;=$R$1),(M4&lt;=$S$1)))</f>
        <v>1</v>
      </c>
    </row>
    <row r="5" spans="1:20" x14ac:dyDescent="0.35">
      <c r="A5" s="16" t="s">
        <v>21</v>
      </c>
      <c r="B5" s="17">
        <v>92.246391296386719</v>
      </c>
      <c r="C5" s="17">
        <v>95.509742736816406</v>
      </c>
      <c r="D5" s="17">
        <v>96.30682373046875</v>
      </c>
      <c r="E5" s="17">
        <v>96.246017456054688</v>
      </c>
      <c r="F5" s="17">
        <v>88.080726623535156</v>
      </c>
      <c r="G5" s="17">
        <v>99.422630310058594</v>
      </c>
      <c r="H5" s="17">
        <v>99.668663024902344</v>
      </c>
      <c r="I5" s="17">
        <v>99.99884033203125</v>
      </c>
      <c r="J5" s="17">
        <v>100</v>
      </c>
      <c r="K5" s="17">
        <v>99.999961853027344</v>
      </c>
      <c r="L5" s="17">
        <v>99.999832153320313</v>
      </c>
      <c r="M5" s="17">
        <v>99.99884033203125</v>
      </c>
      <c r="N5" s="18"/>
      <c r="O5" s="6"/>
      <c r="P5" s="19"/>
      <c r="Q5" s="20">
        <v>1</v>
      </c>
      <c r="R5" s="6" t="s">
        <v>20</v>
      </c>
      <c r="S5" s="6" t="b">
        <f t="shared" si="0"/>
        <v>1</v>
      </c>
      <c r="T5" s="6" t="b">
        <f>NOT(OR((E5&lt;=$Q$1),(I5&lt;=$R$1),(M5&lt;=$S$1)))</f>
        <v>1</v>
      </c>
    </row>
    <row r="6" spans="1:20" x14ac:dyDescent="0.35">
      <c r="A6" s="16" t="s">
        <v>22</v>
      </c>
      <c r="B6" s="17">
        <v>92.247596740722656</v>
      </c>
      <c r="C6" s="17">
        <v>95.548042297363281</v>
      </c>
      <c r="D6" s="17">
        <v>96.26715087890625</v>
      </c>
      <c r="E6" s="17">
        <v>96.107139587402344</v>
      </c>
      <c r="F6" s="17">
        <v>99.854652404785156</v>
      </c>
      <c r="G6" s="17">
        <v>99.913047790527344</v>
      </c>
      <c r="H6" s="17">
        <v>99.999832153320313</v>
      </c>
      <c r="I6" s="17">
        <v>99.99884033203125</v>
      </c>
      <c r="J6" s="17">
        <v>99.417922973632813</v>
      </c>
      <c r="K6" s="17">
        <v>99.149726867675781</v>
      </c>
      <c r="L6" s="17">
        <v>96.528953552246094</v>
      </c>
      <c r="M6" s="17">
        <v>81.63311767578125</v>
      </c>
      <c r="N6" s="18"/>
      <c r="O6" s="6"/>
      <c r="P6" s="19"/>
      <c r="Q6" s="20">
        <v>1</v>
      </c>
      <c r="R6" s="6" t="s">
        <v>20</v>
      </c>
      <c r="S6" s="6" t="b">
        <f t="shared" si="0"/>
        <v>1</v>
      </c>
      <c r="T6" s="6" t="b">
        <f t="shared" si="0"/>
        <v>0</v>
      </c>
    </row>
    <row r="7" spans="1:20" x14ac:dyDescent="0.35">
      <c r="A7" s="16" t="s">
        <v>23</v>
      </c>
      <c r="B7" s="17">
        <v>92.249443054199219</v>
      </c>
      <c r="C7" s="17">
        <v>95.533638000488281</v>
      </c>
      <c r="D7" s="17">
        <v>96.326683044433594</v>
      </c>
      <c r="E7" s="17">
        <v>96.246063232421875</v>
      </c>
      <c r="F7" s="17">
        <v>98.924324035644531</v>
      </c>
      <c r="G7" s="17">
        <v>99.916282653808594</v>
      </c>
      <c r="H7" s="17">
        <v>99.997779846191406</v>
      </c>
      <c r="I7" s="17">
        <v>99.99884033203125</v>
      </c>
      <c r="J7" s="17">
        <v>99.620857238769531</v>
      </c>
      <c r="K7" s="17">
        <v>99.47296142578125</v>
      </c>
      <c r="L7" s="17">
        <v>97.908981323242188</v>
      </c>
      <c r="M7" s="17">
        <v>99.99884033203125</v>
      </c>
      <c r="N7" s="18"/>
      <c r="O7" s="6"/>
      <c r="P7" s="19"/>
      <c r="Q7" s="20">
        <v>1</v>
      </c>
      <c r="R7" s="6" t="s">
        <v>20</v>
      </c>
      <c r="S7" s="6" t="b">
        <f t="shared" si="0"/>
        <v>1</v>
      </c>
      <c r="T7" s="6" t="b">
        <f t="shared" si="0"/>
        <v>1</v>
      </c>
    </row>
    <row r="8" spans="1:20" x14ac:dyDescent="0.35">
      <c r="A8" s="6" t="s">
        <v>24</v>
      </c>
      <c r="B8" s="17">
        <v>92.278205871582031</v>
      </c>
      <c r="C8" s="17">
        <v>95.504981994628906</v>
      </c>
      <c r="D8" s="17">
        <v>96.30682373046875</v>
      </c>
      <c r="E8" s="17">
        <v>96.107139587402344</v>
      </c>
      <c r="F8" s="17">
        <v>98.585517883300781</v>
      </c>
      <c r="G8" s="17">
        <v>99.794548034667969</v>
      </c>
      <c r="H8" s="17">
        <v>99.996406555175781</v>
      </c>
      <c r="I8" s="17">
        <v>99.99884033203125</v>
      </c>
      <c r="J8" s="17">
        <v>99.890937805175781</v>
      </c>
      <c r="K8" s="17">
        <v>99.999961853027344</v>
      </c>
      <c r="L8" s="17">
        <v>99.999832153320313</v>
      </c>
      <c r="M8" s="17">
        <v>99.99884033203125</v>
      </c>
      <c r="N8" s="18"/>
      <c r="O8" s="6"/>
      <c r="P8" s="19"/>
      <c r="Q8" s="20">
        <v>1</v>
      </c>
      <c r="R8" s="6" t="s">
        <v>20</v>
      </c>
      <c r="S8" s="6" t="b">
        <f t="shared" si="0"/>
        <v>1</v>
      </c>
      <c r="T8" s="6" t="b">
        <f t="shared" si="0"/>
        <v>1</v>
      </c>
    </row>
    <row r="9" spans="1:20" x14ac:dyDescent="0.35">
      <c r="A9" s="16" t="s">
        <v>25</v>
      </c>
      <c r="B9" s="17">
        <v>91.492073059082031</v>
      </c>
      <c r="C9" s="17">
        <v>95.509696960449219</v>
      </c>
      <c r="D9" s="17">
        <v>96.283836364746094</v>
      </c>
      <c r="E9" s="17">
        <v>96.110580444335938</v>
      </c>
      <c r="F9" s="17">
        <v>95.433670043945313</v>
      </c>
      <c r="G9" s="17">
        <v>99.855514526367188</v>
      </c>
      <c r="H9" s="17">
        <v>99.973350524902344</v>
      </c>
      <c r="I9" s="17">
        <v>99.902442932128906</v>
      </c>
      <c r="J9" s="17">
        <v>98.048141479492188</v>
      </c>
      <c r="K9" s="17">
        <v>99.917533874511719</v>
      </c>
      <c r="L9" s="17">
        <v>99.876251220703125</v>
      </c>
      <c r="M9" s="17">
        <v>99.99884033203125</v>
      </c>
      <c r="N9" s="18"/>
      <c r="O9" s="6"/>
      <c r="P9" s="19"/>
      <c r="Q9" s="20">
        <v>1</v>
      </c>
      <c r="R9" s="6" t="s">
        <v>20</v>
      </c>
      <c r="S9" s="6" t="b">
        <f t="shared" si="0"/>
        <v>1</v>
      </c>
      <c r="T9" s="6" t="b">
        <f t="shared" si="0"/>
        <v>1</v>
      </c>
    </row>
    <row r="10" spans="1:20" x14ac:dyDescent="0.35">
      <c r="A10" s="16" t="s">
        <v>26</v>
      </c>
      <c r="B10" s="17">
        <v>82.741294860839844</v>
      </c>
      <c r="C10" s="17">
        <v>88.643272399902344</v>
      </c>
      <c r="D10" s="17">
        <v>96.323921203613281</v>
      </c>
      <c r="E10" s="17">
        <v>96.109207153320313</v>
      </c>
      <c r="F10" s="17">
        <v>96.998695373535156</v>
      </c>
      <c r="G10" s="17">
        <v>99.677993774414063</v>
      </c>
      <c r="H10" s="17">
        <v>99.303192138671875</v>
      </c>
      <c r="I10" s="17">
        <v>99.455558776855469</v>
      </c>
      <c r="J10" s="17">
        <v>91.741477966308594</v>
      </c>
      <c r="K10" s="17">
        <v>99.999954223632813</v>
      </c>
      <c r="L10" s="17">
        <v>99.999832153320313</v>
      </c>
      <c r="M10" s="17">
        <v>99.99884033203125</v>
      </c>
      <c r="N10" s="18"/>
      <c r="O10" s="6"/>
      <c r="P10" s="19"/>
      <c r="Q10" s="20">
        <v>1</v>
      </c>
      <c r="R10" s="6" t="s">
        <v>20</v>
      </c>
      <c r="S10" s="6" t="b">
        <f t="shared" si="0"/>
        <v>1</v>
      </c>
      <c r="T10" s="6" t="b">
        <f t="shared" si="0"/>
        <v>1</v>
      </c>
    </row>
    <row r="11" spans="1:20" x14ac:dyDescent="0.35">
      <c r="A11" s="16" t="s">
        <v>27</v>
      </c>
      <c r="B11" s="17">
        <v>81.614097595214844</v>
      </c>
      <c r="C11" s="17">
        <v>88.6488037109375</v>
      </c>
      <c r="D11" s="17">
        <v>96.279014587402344</v>
      </c>
      <c r="E11" s="17">
        <v>96.160270690917969</v>
      </c>
      <c r="F11" s="17">
        <v>62.009284973144531</v>
      </c>
      <c r="G11" s="17">
        <v>20.270204544067383</v>
      </c>
      <c r="H11" s="17">
        <v>16.879106521606445</v>
      </c>
      <c r="I11" s="17">
        <v>25.423391342163086</v>
      </c>
      <c r="J11" s="17">
        <v>67.167221069335938</v>
      </c>
      <c r="K11" s="17">
        <v>94.421516418457031</v>
      </c>
      <c r="L11" s="17">
        <v>99.989532470703125</v>
      </c>
      <c r="M11" s="17">
        <v>99.99884033203125</v>
      </c>
      <c r="N11" s="22" t="s">
        <v>28</v>
      </c>
      <c r="O11" s="6" t="s">
        <v>29</v>
      </c>
      <c r="P11" s="19" t="s">
        <v>30</v>
      </c>
      <c r="Q11" s="20">
        <v>0</v>
      </c>
      <c r="R11" s="6" t="s">
        <v>20</v>
      </c>
      <c r="S11" s="6" t="b">
        <f t="shared" si="0"/>
        <v>0</v>
      </c>
      <c r="T11" s="6" t="b">
        <f t="shared" si="0"/>
        <v>0</v>
      </c>
    </row>
    <row r="12" spans="1:20" x14ac:dyDescent="0.35">
      <c r="A12" s="16" t="s">
        <v>31</v>
      </c>
      <c r="B12" s="17">
        <v>82.390655517578125</v>
      </c>
      <c r="C12" s="17">
        <v>88.997024536132813</v>
      </c>
      <c r="D12" s="17">
        <v>96.323341369628906</v>
      </c>
      <c r="E12" s="17">
        <v>96.238525390625</v>
      </c>
      <c r="F12" s="17">
        <v>96.860954284667969</v>
      </c>
      <c r="G12" s="17">
        <v>99.270301818847656</v>
      </c>
      <c r="H12" s="17">
        <v>99.172615051269531</v>
      </c>
      <c r="I12" s="17">
        <v>99.743423461914063</v>
      </c>
      <c r="J12" s="17">
        <v>91.688751220703125</v>
      </c>
      <c r="K12" s="17">
        <v>99.999954223632813</v>
      </c>
      <c r="L12" s="17">
        <v>99.999832153320313</v>
      </c>
      <c r="M12" s="17">
        <v>99.99884033203125</v>
      </c>
      <c r="N12" s="18"/>
      <c r="O12" s="6"/>
      <c r="P12" s="19"/>
      <c r="Q12" s="20">
        <v>1</v>
      </c>
      <c r="R12" s="6" t="s">
        <v>20</v>
      </c>
      <c r="S12" s="6" t="b">
        <f t="shared" si="0"/>
        <v>1</v>
      </c>
      <c r="T12" s="6" t="b">
        <f t="shared" si="0"/>
        <v>1</v>
      </c>
    </row>
    <row r="13" spans="1:20" x14ac:dyDescent="0.35">
      <c r="A13" s="16" t="s">
        <v>32</v>
      </c>
      <c r="B13" s="17">
        <v>80.84051513671875</v>
      </c>
      <c r="C13" s="17">
        <v>87.45721435546875</v>
      </c>
      <c r="D13" s="17">
        <v>95.587959289550781</v>
      </c>
      <c r="E13" s="17">
        <v>96.033561706542969</v>
      </c>
      <c r="F13" s="17">
        <v>100</v>
      </c>
      <c r="G13" s="17">
        <v>99.999954223632813</v>
      </c>
      <c r="H13" s="17">
        <v>99.999832153320313</v>
      </c>
      <c r="I13" s="17">
        <v>99.99884033203125</v>
      </c>
      <c r="J13" s="21" t="s">
        <v>33</v>
      </c>
      <c r="K13" s="21" t="s">
        <v>33</v>
      </c>
      <c r="L13" s="21" t="s">
        <v>33</v>
      </c>
      <c r="M13" s="21" t="s">
        <v>33</v>
      </c>
      <c r="N13" s="18"/>
      <c r="O13" s="6"/>
      <c r="P13" s="19"/>
      <c r="Q13" s="20"/>
      <c r="R13" s="6"/>
    </row>
    <row r="14" spans="1:20" x14ac:dyDescent="0.35">
      <c r="A14" s="16" t="s">
        <v>34</v>
      </c>
      <c r="B14" s="17">
        <v>89.810340881347656</v>
      </c>
      <c r="C14" s="17">
        <v>92.976333618164063</v>
      </c>
      <c r="D14" s="17">
        <v>94.810020446777344</v>
      </c>
      <c r="E14" s="17">
        <v>95.986114501953125</v>
      </c>
      <c r="F14" s="17">
        <v>100</v>
      </c>
      <c r="G14" s="17">
        <v>99.999961853027344</v>
      </c>
      <c r="H14" s="17">
        <v>99.999832153320313</v>
      </c>
      <c r="I14" s="17">
        <v>99.99884033203125</v>
      </c>
      <c r="J14" s="21" t="s">
        <v>33</v>
      </c>
      <c r="K14" s="21" t="s">
        <v>33</v>
      </c>
      <c r="L14" s="21" t="s">
        <v>33</v>
      </c>
      <c r="M14" s="21" t="s">
        <v>33</v>
      </c>
      <c r="N14" s="18"/>
      <c r="O14" s="6"/>
      <c r="P14" s="23"/>
      <c r="Q14" s="20"/>
      <c r="R14" s="24"/>
    </row>
  </sheetData>
  <conditionalFormatting sqref="B3:E3">
    <cfRule type="colorScale" priority="43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:A3">
    <cfRule type="containsBlanks" priority="42" stopIfTrue="1">
      <formula>LEN(TRIM(A1))=0</formula>
    </cfRule>
    <cfRule type="containsText" dxfId="108" priority="44" stopIfTrue="1" operator="containsText" text="fcd">
      <formula>NOT(ISERROR(SEARCH("fcd",A1)))</formula>
    </cfRule>
    <cfRule type="containsText" dxfId="107" priority="45" stopIfTrue="1" operator="containsText" text="server">
      <formula>NOT(ISERROR(SEARCH("server",A1)))</formula>
    </cfRule>
    <cfRule type="containsText" dxfId="106" priority="46" stopIfTrue="1" operator="containsText" text="ft">
      <formula>NOT(ISERROR(SEARCH("ft",A1)))</formula>
    </cfRule>
    <cfRule type="containsText" dxfId="105" priority="47" stopIfTrue="1" operator="containsText" text="lynxx_">
      <formula>NOT(ISERROR(SEARCH("lynxx_",A1)))</formula>
    </cfRule>
    <cfRule type="containsText" dxfId="104" priority="48" operator="containsText" text="_">
      <formula>NOT(ISERROR(SEARCH("_",A1)))</formula>
    </cfRule>
  </conditionalFormatting>
  <conditionalFormatting sqref="F3:I3">
    <cfRule type="colorScale" priority="4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3:M3">
    <cfRule type="colorScale" priority="4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S1 S3">
    <cfRule type="cellIs" dxfId="103" priority="39" operator="equal">
      <formula>FALSE</formula>
    </cfRule>
  </conditionalFormatting>
  <conditionalFormatting sqref="T1:T3">
    <cfRule type="cellIs" dxfId="102" priority="38" operator="equal">
      <formula>FALSE</formula>
    </cfRule>
  </conditionalFormatting>
  <conditionalFormatting sqref="O1:O2">
    <cfRule type="colorScale" priority="37">
      <colorScale>
        <cfvo type="num" val="0"/>
        <cfvo type="num" val="0.6"/>
        <cfvo type="num" val="1"/>
        <color rgb="FFF8696B"/>
        <color theme="7" tint="0.59999389629810485"/>
        <color rgb="FF63BE7B"/>
      </colorScale>
    </cfRule>
  </conditionalFormatting>
  <conditionalFormatting sqref="S4:S12">
    <cfRule type="cellIs" dxfId="101" priority="36" operator="equal">
      <formula>FALSE</formula>
    </cfRule>
  </conditionalFormatting>
  <conditionalFormatting sqref="T4:T12">
    <cfRule type="cellIs" dxfId="100" priority="35" operator="equal">
      <formula>FALSE</formula>
    </cfRule>
  </conditionalFormatting>
  <conditionalFormatting sqref="B4:E13 B14:I14">
    <cfRule type="colorScale" priority="29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4:A9 A14">
    <cfRule type="containsBlanks" priority="28" stopIfTrue="1">
      <formula>LEN(TRIM(A4))=0</formula>
    </cfRule>
    <cfRule type="containsText" dxfId="24" priority="30" stopIfTrue="1" operator="containsText" text="fcd">
      <formula>NOT(ISERROR(SEARCH("fcd",A4)))</formula>
    </cfRule>
    <cfRule type="containsText" dxfId="23" priority="31" stopIfTrue="1" operator="containsText" text="server">
      <formula>NOT(ISERROR(SEARCH("server",A4)))</formula>
    </cfRule>
    <cfRule type="containsText" dxfId="22" priority="32" stopIfTrue="1" operator="containsText" text="ft">
      <formula>NOT(ISERROR(SEARCH("ft",A4)))</formula>
    </cfRule>
    <cfRule type="containsText" dxfId="21" priority="33" stopIfTrue="1" operator="containsText" text="lynxx_">
      <formula>NOT(ISERROR(SEARCH("lynxx_",A4)))</formula>
    </cfRule>
    <cfRule type="containsText" dxfId="20" priority="34" operator="containsText" text="_">
      <formula>NOT(ISERROR(SEARCH("_",A4)))</formula>
    </cfRule>
  </conditionalFormatting>
  <conditionalFormatting sqref="J13:M14">
    <cfRule type="containsBlanks" priority="22" stopIfTrue="1">
      <formula>LEN(TRIM(J13))=0</formula>
    </cfRule>
    <cfRule type="cellIs" dxfId="19" priority="23" operator="equal">
      <formula>"N/A"</formula>
    </cfRule>
    <cfRule type="cellIs" dxfId="18" priority="24" operator="equal">
      <formula>"OK"</formula>
    </cfRule>
    <cfRule type="containsText" dxfId="17" priority="25" operator="containsText" text="Unsure">
      <formula>NOT(ISERROR(SEARCH("Unsure",J13)))</formula>
    </cfRule>
    <cfRule type="containsText" dxfId="16" priority="26" operator="containsText" text="Can't See">
      <formula>NOT(ISERROR(SEARCH("Can't See",J13)))</formula>
    </cfRule>
    <cfRule type="notContainsText" dxfId="15" priority="27" operator="notContains" text="OK&amp;N/A">
      <formula>ISERROR(SEARCH("OK&amp;N/A",J13))</formula>
    </cfRule>
  </conditionalFormatting>
  <conditionalFormatting sqref="F4:I13">
    <cfRule type="colorScale" priority="2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J4:M10 J12:M12">
    <cfRule type="colorScale" priority="20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conditionalFormatting sqref="A10 A12:A13">
    <cfRule type="containsBlanks" priority="14" stopIfTrue="1">
      <formula>LEN(TRIM(A10))=0</formula>
    </cfRule>
    <cfRule type="containsText" dxfId="14" priority="15" stopIfTrue="1" operator="containsText" text="fcd">
      <formula>NOT(ISERROR(SEARCH("fcd",A10)))</formula>
    </cfRule>
    <cfRule type="containsText" dxfId="13" priority="16" stopIfTrue="1" operator="containsText" text="server">
      <formula>NOT(ISERROR(SEARCH("server",A10)))</formula>
    </cfRule>
    <cfRule type="containsText" dxfId="12" priority="17" stopIfTrue="1" operator="containsText" text="ft">
      <formula>NOT(ISERROR(SEARCH("ft",A10)))</formula>
    </cfRule>
    <cfRule type="containsText" dxfId="11" priority="18" stopIfTrue="1" operator="containsText" text="lynxx_">
      <formula>NOT(ISERROR(SEARCH("lynxx_",A10)))</formula>
    </cfRule>
    <cfRule type="containsText" dxfId="10" priority="19" operator="containsText" text="_">
      <formula>NOT(ISERROR(SEARCH("_",A10)))</formula>
    </cfRule>
  </conditionalFormatting>
  <conditionalFormatting sqref="J11">
    <cfRule type="containsBlanks" priority="8" stopIfTrue="1">
      <formula>LEN(TRIM(J11))=0</formula>
    </cfRule>
    <cfRule type="cellIs" dxfId="9" priority="9" operator="equal">
      <formula>"N/A"</formula>
    </cfRule>
    <cfRule type="cellIs" dxfId="8" priority="10" operator="equal">
      <formula>"OK"</formula>
    </cfRule>
    <cfRule type="containsText" dxfId="7" priority="11" operator="containsText" text="Unsure">
      <formula>NOT(ISERROR(SEARCH("Unsure",J11)))</formula>
    </cfRule>
    <cfRule type="containsText" dxfId="6" priority="12" operator="containsText" text="Can't See">
      <formula>NOT(ISERROR(SEARCH("Can't See",J11)))</formula>
    </cfRule>
    <cfRule type="notContainsText" dxfId="5" priority="13" operator="notContains" text="OK&amp;N/A">
      <formula>ISERROR(SEARCH("OK&amp;N/A",J11))</formula>
    </cfRule>
  </conditionalFormatting>
  <conditionalFormatting sqref="A11">
    <cfRule type="containsBlanks" priority="2" stopIfTrue="1">
      <formula>LEN(TRIM(A11))=0</formula>
    </cfRule>
    <cfRule type="containsText" dxfId="4" priority="3" stopIfTrue="1" operator="containsText" text="fcd">
      <formula>NOT(ISERROR(SEARCH("fcd",A11)))</formula>
    </cfRule>
    <cfRule type="containsText" dxfId="3" priority="4" stopIfTrue="1" operator="containsText" text="server">
      <formula>NOT(ISERROR(SEARCH("server",A11)))</formula>
    </cfRule>
    <cfRule type="containsText" dxfId="2" priority="5" stopIfTrue="1" operator="containsText" text="ft">
      <formula>NOT(ISERROR(SEARCH("ft",A11)))</formula>
    </cfRule>
    <cfRule type="containsText" dxfId="1" priority="6" stopIfTrue="1" operator="containsText" text="lynxx_">
      <formula>NOT(ISERROR(SEARCH("lynxx_",A11)))</formula>
    </cfRule>
    <cfRule type="containsText" dxfId="0" priority="7" operator="containsText" text="_">
      <formula>NOT(ISERROR(SEARCH("_",A11)))</formula>
    </cfRule>
  </conditionalFormatting>
  <conditionalFormatting sqref="K11:M11">
    <cfRule type="colorScale" priority="1">
      <colorScale>
        <cfvo type="num" val="79"/>
        <cfvo type="num" val="80"/>
        <cfvo type="num" val="100"/>
        <color rgb="FFFF0000"/>
        <color rgb="FFFF9201"/>
        <color rgb="FF63BE7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A4E24D3AEE6944820B353861A1D3BD" ma:contentTypeVersion="25" ma:contentTypeDescription="Create a new document." ma:contentTypeScope="" ma:versionID="6fb3aea143ab5da662b84b2be1fdd356">
  <xsd:schema xmlns:xsd="http://www.w3.org/2001/XMLSchema" xmlns:xs="http://www.w3.org/2001/XMLSchema" xmlns:p="http://schemas.microsoft.com/office/2006/metadata/properties" xmlns:ns1="http://schemas.microsoft.com/sharepoint/v3" xmlns:ns2="d810539e-d27a-44be-a01f-91d0a7dc9248" xmlns:ns3="c6a40330-3747-465c-97a6-634a0083e773" targetNamespace="http://schemas.microsoft.com/office/2006/metadata/properties" ma:root="true" ma:fieldsID="791f98d411b1b106c296e74940738282" ns1:_="" ns2:_="" ns3:_="">
    <xsd:import namespace="http://schemas.microsoft.com/sharepoint/v3"/>
    <xsd:import namespace="d810539e-d27a-44be-a01f-91d0a7dc9248"/>
    <xsd:import namespace="c6a40330-3747-465c-97a6-634a0083e7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f77y" minOccurs="0"/>
                <xsd:element ref="ns2:MediaLengthInSeconds" minOccurs="0"/>
                <xsd:element ref="ns2:person" minOccurs="0"/>
                <xsd:element ref="ns2:Site" minOccurs="0"/>
                <xsd:element ref="ns2:S3Label" minOccurs="0"/>
                <xsd:element ref="ns2:HighLevelScop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0539e-d27a-44be-a01f-91d0a7dc9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description="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f77y" ma:index="23" nillable="true" ma:displayName="Text" ma:internalName="f77y">
      <xsd:simpleType>
        <xsd:restriction base="dms:Text"/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person" ma:index="25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ite" ma:index="26" nillable="true" ma:displayName="Site" ma:default="Unselected" ma:format="Dropdown" ma:internalName="Site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ANG_MGN"/>
                        <xsd:enumeration value="ANG_MOT"/>
                        <xsd:enumeration value="ANG_AMB"/>
                        <xsd:enumeration value="Unselected"/>
                        <xsd:enumeration value="ANG_AAPHO"/>
                        <xsd:enumeration value="ANG_ICS"/>
                        <xsd:enumeration value="ANG_MGS"/>
                        <xsd:enumeration value="ACO_CAP"/>
                        <xsd:enumeration value="ACO_DSN"/>
                        <xsd:enumeration value="ACO_GDH"/>
                        <xsd:enumeration value="ACO_GRS"/>
                        <xsd:enumeration value="ACO_MOR"/>
                        <xsd:enumeration value="ACO_ZEB"/>
                        <xsd:enumeration value="ANG_BAO"/>
                        <xsd:enumeration value="ANG_ELS"/>
                        <xsd:enumeration value="ANG_KOL"/>
                        <xsd:enumeration value="ANG_LBR"/>
                        <xsd:enumeration value="ANG_LTO"/>
                        <xsd:enumeration value="ANG_PH2"/>
                        <xsd:enumeration value="ANG_QUE"/>
                        <xsd:enumeration value="ANG_WACP"/>
                        <xsd:enumeration value="ANG_WUG2"/>
                        <xsd:enumeration value="ANG_WUG3"/>
                        <xsd:enumeration value="APS_APS"/>
                        <xsd:enumeration value="ARM_NKC"/>
                        <xsd:enumeration value="ASK_ASA"/>
                        <xsd:enumeration value="ASM_BRC"/>
                        <xsd:enumeration value="ASM_KHU"/>
                        <xsd:enumeration value="BOL_KEV"/>
                        <xsd:enumeration value="DEB_GAR"/>
                        <xsd:enumeration value="DEB_ORA"/>
                        <xsd:enumeration value="DEB_VEN"/>
                        <xsd:enumeration value="EXX_BELF"/>
                        <xsd:enumeration value="EXX_GGL"/>
                        <xsd:enumeration value="FLS_PER"/>
                        <xsd:enumeration value="FLS_RUS"/>
                        <xsd:enumeration value="FQM_KAN"/>
                        <xsd:enumeration value="FQM_SEN"/>
                        <xsd:enumeration value="FSD_LIQ"/>
                        <xsd:enumeration value="GEM_LET"/>
                        <xsd:enumeration value="ILL_KLM"/>
                        <xsd:enumeration value="ILL_LAC"/>
                        <xsd:enumeration value="ILL_NCH"/>
                        <xsd:enumeration value="ILL_SEZ"/>
                        <xsd:enumeration value="KIO_SIS"/>
                        <xsd:enumeration value="MOL_MOL"/>
                        <xsd:enumeration value="NMT_BOD"/>
                        <xsd:enumeration value="NMT_PEN"/>
                        <xsd:enumeration value="NOP_NOP"/>
                        <xsd:enumeration value="RBP_MAS"/>
                        <xsd:enumeration value="ROS_ROS"/>
                        <xsd:enumeration value="RUS_AUG"/>
                        <xsd:enumeration value="SAS_SCD"/>
                        <xsd:enumeration value="SMD_KAO"/>
                        <xsd:enumeration value="SPM_PPM"/>
                        <xsd:enumeration value="STM_INT"/>
                        <xsd:enumeration value="TRE_RPZ"/>
                        <xsd:enumeration value="VED_GAM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S3Label" ma:index="27" nillable="true" ma:displayName="S3Label" ma:format="Dropdown" ma:internalName="S3Label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th Sensor"/>
                    <xsd:enumeration value="CV"/>
                    <xsd:enumeration value="Truck"/>
                    <xsd:enumeration value="PM&amp;D"/>
                    <xsd:enumeration value="Pulp"/>
                    <xsd:enumeration value="Lost Lead"/>
                    <xsd:enumeration value="SLA"/>
                    <xsd:enumeration value="R&amp;D/POC"/>
                    <xsd:enumeration value="Belt Health"/>
                    <xsd:enumeration value="VO"/>
                    <xsd:enumeration value="VSA"/>
                    <xsd:enumeration value="PPH"/>
                    <xsd:enumeration value="BubbleSizer"/>
                    <xsd:enumeration value="Bespoke Dev"/>
                    <xsd:enumeration value="Crusher"/>
                  </xsd:restriction>
                </xsd:simpleType>
              </xsd:element>
            </xsd:sequence>
          </xsd:extension>
        </xsd:complexContent>
      </xsd:complexType>
    </xsd:element>
    <xsd:element name="HighLevelScope" ma:index="28" nillable="true" ma:displayName="High Level Scope" ma:format="Dropdown" ma:internalName="HighLevelScope">
      <xsd:simpleType>
        <xsd:restriction base="dms:Note">
          <xsd:maxLength value="255"/>
        </xsd:restriction>
      </xsd:simpleType>
    </xsd:element>
    <xsd:element name="lcf76f155ced4ddcb4097134ff3c332f" ma:index="30" nillable="true" ma:taxonomy="true" ma:internalName="lcf76f155ced4ddcb4097134ff3c332f" ma:taxonomyFieldName="MediaServiceImageTags" ma:displayName="Image Tags" ma:readOnly="false" ma:fieldId="{5cf76f15-5ced-4ddc-b409-7134ff3c332f}" ma:taxonomyMulti="true" ma:sspId="64af5644-d925-4c83-a75b-f7b791d792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a40330-3747-465c-97a6-634a0083e77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31" nillable="true" ma:displayName="Taxonomy Catch All Column" ma:hidden="true" ma:list="{e0de2282-648f-4a5d-b440-4791db8f01b9}" ma:internalName="TaxCatchAll" ma:showField="CatchAllData" ma:web="c6a40330-3747-465c-97a6-634a0083e7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810539e-d27a-44be-a01f-91d0a7dc9248">
      <Terms xmlns="http://schemas.microsoft.com/office/infopath/2007/PartnerControls"/>
    </lcf76f155ced4ddcb4097134ff3c332f>
    <_ip_UnifiedCompliancePolicyUIAction xmlns="http://schemas.microsoft.com/sharepoint/v3" xsi:nil="true"/>
    <person xmlns="d810539e-d27a-44be-a01f-91d0a7dc9248">
      <UserInfo>
        <DisplayName/>
        <AccountId xsi:nil="true"/>
        <AccountType/>
      </UserInfo>
    </person>
    <_ip_UnifiedCompliancePolicyProperties xmlns="http://schemas.microsoft.com/sharepoint/v3" xsi:nil="true"/>
    <f77y xmlns="d810539e-d27a-44be-a01f-91d0a7dc9248" xsi:nil="true"/>
    <HighLevelScope xmlns="d810539e-d27a-44be-a01f-91d0a7dc9248" xsi:nil="true"/>
    <Site xmlns="d810539e-d27a-44be-a01f-91d0a7dc9248">
      <Value>Unselected</Value>
    </Site>
    <_Flow_SignoffStatus xmlns="d810539e-d27a-44be-a01f-91d0a7dc9248" xsi:nil="true"/>
    <TaxCatchAll xmlns="c6a40330-3747-465c-97a6-634a0083e773" xsi:nil="true"/>
    <S3Label xmlns="d810539e-d27a-44be-a01f-91d0a7dc9248" xsi:nil="true"/>
  </documentManagement>
</p:properties>
</file>

<file path=customXml/itemProps1.xml><?xml version="1.0" encoding="utf-8"?>
<ds:datastoreItem xmlns:ds="http://schemas.openxmlformats.org/officeDocument/2006/customXml" ds:itemID="{44E90FA3-3943-44A7-A710-EEAA7377A9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810539e-d27a-44be-a01f-91d0a7dc9248"/>
    <ds:schemaRef ds:uri="c6a40330-3747-465c-97a6-634a0083e7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60461B-3CDF-4594-A6A3-4A15DE46A7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A82E4E-40AA-4D5A-A6DA-6F3506021840}">
  <ds:schemaRefs>
    <ds:schemaRef ds:uri="http://schemas.microsoft.com/office/2006/metadata/properties"/>
    <ds:schemaRef ds:uri="http://schemas.microsoft.com/office/infopath/2007/PartnerControls"/>
    <ds:schemaRef ds:uri="d810539e-d27a-44be-a01f-91d0a7dc9248"/>
    <ds:schemaRef ds:uri="http://schemas.microsoft.com/sharepoint/v3"/>
    <ds:schemaRef ds:uri="c6a40330-3747-465c-97a6-634a0083e77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Format</vt:lpstr>
      <vt:lpstr>2 Feb 2023</vt:lpstr>
      <vt:lpstr>3 Feb 2023</vt:lpstr>
      <vt:lpstr>6 Feb 2023</vt:lpstr>
      <vt:lpstr>7 Feb 2023</vt:lpstr>
      <vt:lpstr>8 Feb 2023</vt:lpstr>
      <vt:lpstr>9 Feb 2023</vt:lpstr>
      <vt:lpstr>10 Feb 2023</vt:lpstr>
      <vt:lpstr>13 Feb 2023</vt:lpstr>
      <vt:lpstr>14 Feb 2023</vt:lpstr>
      <vt:lpstr>15 Feb 2023</vt:lpstr>
      <vt:lpstr>16 Feb 2023</vt:lpstr>
      <vt:lpstr>17 Feb 2023</vt:lpstr>
      <vt:lpstr>20 Feb 2023</vt:lpstr>
      <vt:lpstr>21 Feb 2023</vt:lpstr>
      <vt:lpstr>22 Feb 2023</vt:lpstr>
      <vt:lpstr>23 Feb 2023</vt:lpstr>
      <vt:lpstr>24 Feb 2023</vt:lpstr>
      <vt:lpstr>27 Feb 2023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Lesley Chingwena</dc:creator>
  <cp:keywords/>
  <dc:description/>
  <cp:lastModifiedBy>Lesley Chingwena</cp:lastModifiedBy>
  <cp:revision/>
  <dcterms:created xsi:type="dcterms:W3CDTF">2023-02-20T08:30:17Z</dcterms:created>
  <dcterms:modified xsi:type="dcterms:W3CDTF">2023-02-27T08:12:20Z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0x010100E2A4E24D3AEE6944820B353861A1D3BD</vt:lpwstr>
  </property>
  <property fmtid="{D5CDD505-2E9C-101B-9397-08002B2CF9AE}" pid="3" name="MediaServiceImageTags">
    <vt:lpwstr/>
  </property>
</Properties>
</file>